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mhasham/Desktop/Kumar Cachexia in CD2F1/"/>
    </mc:Choice>
  </mc:AlternateContent>
  <xr:revisionPtr revIDLastSave="0" documentId="13_ncr:1_{599D4598-396C-404D-8941-F60A2D0368D7}" xr6:coauthVersionLast="47" xr6:coauthVersionMax="47" xr10:uidLastSave="{00000000-0000-0000-0000-000000000000}"/>
  <bookViews>
    <workbookView xWindow="11940" yWindow="500" windowWidth="55540" windowHeight="24920" xr2:uid="{00000000-000D-0000-FFFF-FFFF00000000}"/>
  </bookViews>
  <sheets>
    <sheet name="BCS" sheetId="2" r:id="rId1"/>
    <sheet name="Weights" sheetId="1" r:id="rId2"/>
    <sheet name="Measurements" sheetId="4" r:id="rId3"/>
    <sheet name="Notes" sheetId="3" r:id="rId4"/>
    <sheet name="Takedown Note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1" i="4" l="1"/>
  <c r="H45" i="4"/>
  <c r="B38" i="1"/>
  <c r="B45" i="1"/>
  <c r="B49" i="1"/>
  <c r="B48" i="1"/>
  <c r="B47" i="1"/>
  <c r="B44" i="1"/>
  <c r="C55" i="1"/>
  <c r="D55" i="1"/>
  <c r="E55" i="1"/>
  <c r="F55" i="1"/>
  <c r="G55" i="1"/>
  <c r="H55" i="1"/>
  <c r="I55" i="1"/>
  <c r="J55" i="1"/>
  <c r="K55" i="1"/>
  <c r="L55" i="1"/>
  <c r="M55" i="1"/>
  <c r="N55" i="1"/>
  <c r="O55" i="1"/>
  <c r="P55" i="1"/>
  <c r="Q55" i="1"/>
  <c r="R55" i="1"/>
  <c r="S55" i="1"/>
  <c r="T55" i="1"/>
  <c r="U55" i="1"/>
  <c r="V55" i="1"/>
  <c r="W55" i="1"/>
  <c r="X55" i="1"/>
  <c r="Y55" i="1"/>
  <c r="Z55" i="1"/>
  <c r="AA55" i="1"/>
  <c r="AB55" i="1"/>
  <c r="AC55" i="1"/>
  <c r="AD55" i="1"/>
  <c r="AE55" i="1"/>
  <c r="AF55" i="1"/>
  <c r="AG55" i="1"/>
  <c r="AH55" i="1"/>
  <c r="AI55" i="1"/>
  <c r="AJ55" i="1"/>
  <c r="AK55" i="1"/>
  <c r="AL55" i="1"/>
  <c r="AM55" i="1"/>
  <c r="AN55" i="1"/>
  <c r="AO55" i="1"/>
  <c r="AP55" i="1"/>
  <c r="AQ55" i="1"/>
  <c r="AR55" i="1"/>
  <c r="AS55" i="1"/>
  <c r="AT55" i="1"/>
  <c r="AU55" i="1"/>
  <c r="AV55" i="1"/>
  <c r="AW55" i="1"/>
  <c r="AX55" i="1"/>
  <c r="AY55" i="1"/>
  <c r="AZ55" i="1"/>
  <c r="BA55" i="1"/>
  <c r="BB55" i="1"/>
  <c r="BC55" i="1"/>
  <c r="BD55" i="1"/>
  <c r="BE55" i="1"/>
  <c r="BF55" i="1"/>
  <c r="BG55" i="1"/>
  <c r="B55" i="1"/>
  <c r="A55" i="1"/>
  <c r="A54" i="1"/>
  <c r="B37" i="1"/>
  <c r="D37" i="1"/>
  <c r="E37" i="1"/>
  <c r="F37" i="1"/>
  <c r="G37" i="1"/>
  <c r="H37" i="1"/>
  <c r="I37" i="1"/>
  <c r="J37" i="1"/>
  <c r="K37" i="1"/>
  <c r="L37" i="1"/>
  <c r="M37" i="1"/>
  <c r="N37" i="1"/>
  <c r="O37" i="1"/>
  <c r="P37" i="1"/>
  <c r="Q37"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AR37" i="1"/>
  <c r="AS37" i="1"/>
  <c r="AT37" i="1"/>
  <c r="AU37" i="1"/>
  <c r="AV37" i="1"/>
  <c r="AW37" i="1"/>
  <c r="AX37" i="1"/>
  <c r="AY37" i="1"/>
  <c r="AZ37" i="1"/>
  <c r="BA37" i="1"/>
  <c r="BB37" i="1"/>
  <c r="BC37" i="1"/>
  <c r="BD37" i="1"/>
  <c r="BE37" i="1"/>
  <c r="BF37" i="1"/>
  <c r="BG37" i="1"/>
  <c r="D38" i="1"/>
  <c r="E38" i="1"/>
  <c r="F38" i="1"/>
  <c r="G38" i="1"/>
  <c r="H38" i="1"/>
  <c r="I38" i="1"/>
  <c r="J38" i="1"/>
  <c r="K38" i="1"/>
  <c r="L38" i="1"/>
  <c r="M38" i="1"/>
  <c r="N38" i="1"/>
  <c r="O38" i="1"/>
  <c r="P38"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AR38" i="1"/>
  <c r="AS38" i="1"/>
  <c r="AT38" i="1"/>
  <c r="AU38" i="1"/>
  <c r="AV38" i="1"/>
  <c r="AW38" i="1"/>
  <c r="AX38" i="1"/>
  <c r="AY38" i="1"/>
  <c r="AZ38" i="1"/>
  <c r="BA38" i="1"/>
  <c r="BB38" i="1"/>
  <c r="BC38" i="1"/>
  <c r="BD38" i="1"/>
  <c r="BE38" i="1"/>
  <c r="BF38" i="1"/>
  <c r="BG38" i="1"/>
  <c r="D39" i="1"/>
  <c r="E39" i="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D40" i="1"/>
  <c r="E40" i="1"/>
  <c r="F40" i="1"/>
  <c r="G40" i="1"/>
  <c r="H40" i="1"/>
  <c r="I40" i="1"/>
  <c r="J40"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AR40" i="1"/>
  <c r="AS40" i="1"/>
  <c r="AT40" i="1"/>
  <c r="AU40" i="1"/>
  <c r="AV40" i="1"/>
  <c r="AW40" i="1"/>
  <c r="AX40" i="1"/>
  <c r="AY40" i="1"/>
  <c r="AZ40" i="1"/>
  <c r="BA40" i="1"/>
  <c r="BB40" i="1"/>
  <c r="BC40" i="1"/>
  <c r="BD40" i="1"/>
  <c r="BE40" i="1"/>
  <c r="BF40" i="1"/>
  <c r="BG40" i="1"/>
  <c r="D41" i="1"/>
  <c r="E41" i="1"/>
  <c r="F41" i="1"/>
  <c r="G41" i="1"/>
  <c r="H41" i="1"/>
  <c r="I41" i="1"/>
  <c r="J41" i="1"/>
  <c r="K41" i="1"/>
  <c r="L41" i="1"/>
  <c r="M41" i="1"/>
  <c r="N41" i="1"/>
  <c r="O41" i="1"/>
  <c r="P41" i="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AR41" i="1"/>
  <c r="AS41" i="1"/>
  <c r="AT41" i="1"/>
  <c r="AU41" i="1"/>
  <c r="AV41" i="1"/>
  <c r="AW41" i="1"/>
  <c r="AX41" i="1"/>
  <c r="AY41" i="1"/>
  <c r="AZ41" i="1"/>
  <c r="BA41" i="1"/>
  <c r="BB41" i="1"/>
  <c r="BC41" i="1"/>
  <c r="BD41" i="1"/>
  <c r="BE41" i="1"/>
  <c r="BF41" i="1"/>
  <c r="BG41" i="1"/>
  <c r="D42" i="1"/>
  <c r="E42" i="1"/>
  <c r="F42" i="1"/>
  <c r="G42" i="1"/>
  <c r="H42" i="1"/>
  <c r="I42" i="1"/>
  <c r="J42" i="1"/>
  <c r="K42" i="1"/>
  <c r="L42" i="1"/>
  <c r="M42" i="1"/>
  <c r="N42" i="1"/>
  <c r="O42" i="1"/>
  <c r="P42" i="1"/>
  <c r="Q42"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AR42" i="1"/>
  <c r="AS42" i="1"/>
  <c r="AT42" i="1"/>
  <c r="AU42" i="1"/>
  <c r="AV42" i="1"/>
  <c r="AW42" i="1"/>
  <c r="AX42" i="1"/>
  <c r="AY42" i="1"/>
  <c r="AZ42" i="1"/>
  <c r="BA42" i="1"/>
  <c r="BB42" i="1"/>
  <c r="BC42" i="1"/>
  <c r="BD42" i="1"/>
  <c r="BE42" i="1"/>
  <c r="BF42" i="1"/>
  <c r="BG42" i="1"/>
  <c r="D43" i="1"/>
  <c r="E43" i="1"/>
  <c r="F43" i="1"/>
  <c r="G43" i="1"/>
  <c r="H43" i="1"/>
  <c r="I43" i="1"/>
  <c r="J43"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AL43" i="1"/>
  <c r="AM43" i="1"/>
  <c r="AN43" i="1"/>
  <c r="AO43" i="1"/>
  <c r="AP43" i="1"/>
  <c r="AQ43" i="1"/>
  <c r="AR43" i="1"/>
  <c r="AS43" i="1"/>
  <c r="AT43" i="1"/>
  <c r="AU43" i="1"/>
  <c r="AV43" i="1"/>
  <c r="AW43" i="1"/>
  <c r="AX43" i="1"/>
  <c r="AY43" i="1"/>
  <c r="AZ43" i="1"/>
  <c r="BA43" i="1"/>
  <c r="BB43" i="1"/>
  <c r="BC43" i="1"/>
  <c r="BD43" i="1"/>
  <c r="BE43" i="1"/>
  <c r="BF43" i="1"/>
  <c r="BG43" i="1"/>
  <c r="D44" i="1"/>
  <c r="E44" i="1"/>
  <c r="F44" i="1"/>
  <c r="G44" i="1"/>
  <c r="H44" i="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AX44" i="1"/>
  <c r="AY44" i="1"/>
  <c r="AZ44" i="1"/>
  <c r="BA44" i="1"/>
  <c r="BB44" i="1"/>
  <c r="BC44" i="1"/>
  <c r="BD44" i="1"/>
  <c r="BE44" i="1"/>
  <c r="BF44" i="1"/>
  <c r="BG44" i="1"/>
  <c r="D45" i="1"/>
  <c r="E45" i="1"/>
  <c r="F45" i="1"/>
  <c r="G45"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AJ45" i="1"/>
  <c r="AK45" i="1"/>
  <c r="AL45" i="1"/>
  <c r="AM45" i="1"/>
  <c r="AN45" i="1"/>
  <c r="AO45" i="1"/>
  <c r="AP45" i="1"/>
  <c r="AQ45" i="1"/>
  <c r="AR45" i="1"/>
  <c r="AS45" i="1"/>
  <c r="AT45" i="1"/>
  <c r="AU45" i="1"/>
  <c r="AV45" i="1"/>
  <c r="AW45" i="1"/>
  <c r="AX45" i="1"/>
  <c r="AY45" i="1"/>
  <c r="AZ45" i="1"/>
  <c r="BA45" i="1"/>
  <c r="BB45" i="1"/>
  <c r="BC45" i="1"/>
  <c r="BD45" i="1"/>
  <c r="BE45" i="1"/>
  <c r="BF45" i="1"/>
  <c r="BG45" i="1"/>
  <c r="D46" i="1"/>
  <c r="E46" i="1"/>
  <c r="F46" i="1"/>
  <c r="G46" i="1"/>
  <c r="H46" i="1"/>
  <c r="I46" i="1"/>
  <c r="J46" i="1"/>
  <c r="K46" i="1"/>
  <c r="L46" i="1"/>
  <c r="M46" i="1"/>
  <c r="N46" i="1"/>
  <c r="O46" i="1"/>
  <c r="P46" i="1"/>
  <c r="Q46" i="1"/>
  <c r="R46" i="1"/>
  <c r="S46" i="1"/>
  <c r="T46" i="1"/>
  <c r="U46" i="1"/>
  <c r="V46" i="1"/>
  <c r="W46" i="1"/>
  <c r="X46" i="1"/>
  <c r="Y46" i="1"/>
  <c r="Z46" i="1"/>
  <c r="AA46" i="1"/>
  <c r="AB46" i="1"/>
  <c r="AC46" i="1"/>
  <c r="AD46" i="1"/>
  <c r="AE46" i="1"/>
  <c r="AF46" i="1"/>
  <c r="AG46" i="1"/>
  <c r="AH46" i="1"/>
  <c r="AI46" i="1"/>
  <c r="AJ46" i="1"/>
  <c r="AK46" i="1"/>
  <c r="AL46" i="1"/>
  <c r="AM46" i="1"/>
  <c r="AN46" i="1"/>
  <c r="AO46" i="1"/>
  <c r="AP46" i="1"/>
  <c r="AQ46" i="1"/>
  <c r="AR46" i="1"/>
  <c r="AS46" i="1"/>
  <c r="AT46" i="1"/>
  <c r="AU46" i="1"/>
  <c r="AV46" i="1"/>
  <c r="AW46" i="1"/>
  <c r="AX46" i="1"/>
  <c r="AY46" i="1"/>
  <c r="AZ46" i="1"/>
  <c r="BA46" i="1"/>
  <c r="BB46" i="1"/>
  <c r="BC46" i="1"/>
  <c r="BD46" i="1"/>
  <c r="BE46" i="1"/>
  <c r="BF46" i="1"/>
  <c r="BG46" i="1"/>
  <c r="D47" i="1"/>
  <c r="E47" i="1"/>
  <c r="F47" i="1"/>
  <c r="G47" i="1"/>
  <c r="H47" i="1"/>
  <c r="I47" i="1"/>
  <c r="J47" i="1"/>
  <c r="K47" i="1"/>
  <c r="L47" i="1"/>
  <c r="M47" i="1"/>
  <c r="N47" i="1"/>
  <c r="O47" i="1"/>
  <c r="P47" i="1"/>
  <c r="Q47" i="1"/>
  <c r="R47" i="1"/>
  <c r="S47" i="1"/>
  <c r="T47" i="1"/>
  <c r="U47" i="1"/>
  <c r="V47" i="1"/>
  <c r="W47" i="1"/>
  <c r="X47" i="1"/>
  <c r="Y47" i="1"/>
  <c r="Z47" i="1"/>
  <c r="AA47" i="1"/>
  <c r="AB47" i="1"/>
  <c r="AC47" i="1"/>
  <c r="AD47" i="1"/>
  <c r="AE47" i="1"/>
  <c r="AF47" i="1"/>
  <c r="AG47" i="1"/>
  <c r="AH47" i="1"/>
  <c r="AI47" i="1"/>
  <c r="AJ47" i="1"/>
  <c r="AK47" i="1"/>
  <c r="AL47" i="1"/>
  <c r="AM47" i="1"/>
  <c r="AN47" i="1"/>
  <c r="AO47" i="1"/>
  <c r="AP47" i="1"/>
  <c r="AQ47" i="1"/>
  <c r="AR47" i="1"/>
  <c r="AS47" i="1"/>
  <c r="AT47" i="1"/>
  <c r="AU47" i="1"/>
  <c r="AV47" i="1"/>
  <c r="AW47" i="1"/>
  <c r="AX47" i="1"/>
  <c r="AY47" i="1"/>
  <c r="AZ47" i="1"/>
  <c r="BA47" i="1"/>
  <c r="BB47" i="1"/>
  <c r="BC47" i="1"/>
  <c r="BD47" i="1"/>
  <c r="BE47" i="1"/>
  <c r="BF47" i="1"/>
  <c r="BG47" i="1"/>
  <c r="D48" i="1"/>
  <c r="E48" i="1"/>
  <c r="F48" i="1"/>
  <c r="G48" i="1"/>
  <c r="H48" i="1"/>
  <c r="I48" i="1"/>
  <c r="J48" i="1"/>
  <c r="K48" i="1"/>
  <c r="L48" i="1"/>
  <c r="M48" i="1"/>
  <c r="N48" i="1"/>
  <c r="O48" i="1"/>
  <c r="P48" i="1"/>
  <c r="Q48" i="1"/>
  <c r="R48" i="1"/>
  <c r="S48" i="1"/>
  <c r="T48" i="1"/>
  <c r="U48" i="1"/>
  <c r="V48" i="1"/>
  <c r="W48" i="1"/>
  <c r="X48" i="1"/>
  <c r="Y48" i="1"/>
  <c r="Z48" i="1"/>
  <c r="AA48" i="1"/>
  <c r="AB48" i="1"/>
  <c r="AC48" i="1"/>
  <c r="AD48" i="1"/>
  <c r="AE48" i="1"/>
  <c r="AF48" i="1"/>
  <c r="AG48" i="1"/>
  <c r="AH48" i="1"/>
  <c r="AI48" i="1"/>
  <c r="AJ48" i="1"/>
  <c r="AK48" i="1"/>
  <c r="AL48" i="1"/>
  <c r="AM48" i="1"/>
  <c r="AN48" i="1"/>
  <c r="AO48" i="1"/>
  <c r="AP48" i="1"/>
  <c r="AQ48" i="1"/>
  <c r="AR48" i="1"/>
  <c r="AS48" i="1"/>
  <c r="AT48" i="1"/>
  <c r="AU48" i="1"/>
  <c r="AV48" i="1"/>
  <c r="AW48" i="1"/>
  <c r="AX48" i="1"/>
  <c r="AY48" i="1"/>
  <c r="AZ48" i="1"/>
  <c r="BA48" i="1"/>
  <c r="BB48" i="1"/>
  <c r="BC48" i="1"/>
  <c r="BD48" i="1"/>
  <c r="BE48" i="1"/>
  <c r="BF48" i="1"/>
  <c r="BG48" i="1"/>
  <c r="D49" i="1"/>
  <c r="E49" i="1"/>
  <c r="F49" i="1"/>
  <c r="G49" i="1"/>
  <c r="H49" i="1"/>
  <c r="I49" i="1"/>
  <c r="J49" i="1"/>
  <c r="K49" i="1"/>
  <c r="L49" i="1"/>
  <c r="M49" i="1"/>
  <c r="N49" i="1"/>
  <c r="O49" i="1"/>
  <c r="P49" i="1"/>
  <c r="Q49" i="1"/>
  <c r="R49" i="1"/>
  <c r="S49" i="1"/>
  <c r="T49" i="1"/>
  <c r="U49" i="1"/>
  <c r="V49" i="1"/>
  <c r="W49" i="1"/>
  <c r="X49" i="1"/>
  <c r="Y49" i="1"/>
  <c r="Z49" i="1"/>
  <c r="AA49" i="1"/>
  <c r="AB49" i="1"/>
  <c r="AC49" i="1"/>
  <c r="AD49" i="1"/>
  <c r="AE49" i="1"/>
  <c r="AF49" i="1"/>
  <c r="AG49" i="1"/>
  <c r="AH49" i="1"/>
  <c r="AI49" i="1"/>
  <c r="AJ49" i="1"/>
  <c r="AK49" i="1"/>
  <c r="AL49" i="1"/>
  <c r="AM49" i="1"/>
  <c r="AN49" i="1"/>
  <c r="AO49" i="1"/>
  <c r="AP49" i="1"/>
  <c r="AQ49" i="1"/>
  <c r="AR49" i="1"/>
  <c r="AS49" i="1"/>
  <c r="AT49" i="1"/>
  <c r="AU49" i="1"/>
  <c r="AV49" i="1"/>
  <c r="AW49" i="1"/>
  <c r="AX49" i="1"/>
  <c r="AY49" i="1"/>
  <c r="AZ49" i="1"/>
  <c r="BA49" i="1"/>
  <c r="BB49" i="1"/>
  <c r="BC49" i="1"/>
  <c r="BD49" i="1"/>
  <c r="BE49" i="1"/>
  <c r="BF49" i="1"/>
  <c r="BG49" i="1"/>
  <c r="D50" i="1"/>
  <c r="E50" i="1"/>
  <c r="F50" i="1"/>
  <c r="G50" i="1"/>
  <c r="H50" i="1"/>
  <c r="I50" i="1"/>
  <c r="J50"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AL50" i="1"/>
  <c r="AM50" i="1"/>
  <c r="AN50" i="1"/>
  <c r="AO50" i="1"/>
  <c r="AP50" i="1"/>
  <c r="AQ50" i="1"/>
  <c r="AR50" i="1"/>
  <c r="AS50" i="1"/>
  <c r="AT50" i="1"/>
  <c r="AU50" i="1"/>
  <c r="AV50" i="1"/>
  <c r="AW50" i="1"/>
  <c r="AX50" i="1"/>
  <c r="AY50" i="1"/>
  <c r="AZ50" i="1"/>
  <c r="BA50" i="1"/>
  <c r="BB50" i="1"/>
  <c r="BC50" i="1"/>
  <c r="BD50" i="1"/>
  <c r="BE50" i="1"/>
  <c r="BF50" i="1"/>
  <c r="BG50" i="1"/>
  <c r="D51" i="1"/>
  <c r="E51" i="1"/>
  <c r="F51" i="1"/>
  <c r="G51" i="1"/>
  <c r="H51" i="1"/>
  <c r="I51" i="1"/>
  <c r="J51" i="1"/>
  <c r="K51" i="1"/>
  <c r="L51" i="1"/>
  <c r="M51" i="1"/>
  <c r="N51" i="1"/>
  <c r="O51" i="1"/>
  <c r="P51" i="1"/>
  <c r="Q51" i="1"/>
  <c r="R51" i="1"/>
  <c r="S51" i="1"/>
  <c r="T51" i="1"/>
  <c r="U51" i="1"/>
  <c r="V51" i="1"/>
  <c r="W51" i="1"/>
  <c r="X51" i="1"/>
  <c r="Y51" i="1"/>
  <c r="Z51" i="1"/>
  <c r="AA51" i="1"/>
  <c r="AB51" i="1"/>
  <c r="AC51" i="1"/>
  <c r="AD51" i="1"/>
  <c r="AE51" i="1"/>
  <c r="AF51" i="1"/>
  <c r="AG51" i="1"/>
  <c r="AH51" i="1"/>
  <c r="AI51" i="1"/>
  <c r="AJ51" i="1"/>
  <c r="AK51" i="1"/>
  <c r="AL51" i="1"/>
  <c r="AM51" i="1"/>
  <c r="AN51" i="1"/>
  <c r="AO51" i="1"/>
  <c r="AP51" i="1"/>
  <c r="AQ51" i="1"/>
  <c r="AR51" i="1"/>
  <c r="AS51" i="1"/>
  <c r="AT51" i="1"/>
  <c r="AU51" i="1"/>
  <c r="AV51" i="1"/>
  <c r="AW51" i="1"/>
  <c r="AX51" i="1"/>
  <c r="AY51" i="1"/>
  <c r="AZ51" i="1"/>
  <c r="BA51" i="1"/>
  <c r="BB51" i="1"/>
  <c r="BC51" i="1"/>
  <c r="BD51" i="1"/>
  <c r="BE51" i="1"/>
  <c r="BF51" i="1"/>
  <c r="BG51" i="1"/>
  <c r="D52" i="1"/>
  <c r="E52" i="1"/>
  <c r="F52" i="1"/>
  <c r="G52"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AR52" i="1"/>
  <c r="AS52" i="1"/>
  <c r="AT52" i="1"/>
  <c r="AU52" i="1"/>
  <c r="AV52" i="1"/>
  <c r="AW52" i="1"/>
  <c r="AX52" i="1"/>
  <c r="AY52" i="1"/>
  <c r="AZ52" i="1"/>
  <c r="BA52" i="1"/>
  <c r="BB52" i="1"/>
  <c r="BC52" i="1"/>
  <c r="BD52" i="1"/>
  <c r="BE52" i="1"/>
  <c r="BF52" i="1"/>
  <c r="BG52" i="1"/>
  <c r="D53" i="1"/>
  <c r="E53" i="1"/>
  <c r="F53" i="1"/>
  <c r="G53" i="1"/>
  <c r="H53" i="1"/>
  <c r="I53" i="1"/>
  <c r="J53"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AR53" i="1"/>
  <c r="AS53" i="1"/>
  <c r="AT53" i="1"/>
  <c r="AU53" i="1"/>
  <c r="AV53" i="1"/>
  <c r="AW53" i="1"/>
  <c r="AX53" i="1"/>
  <c r="AY53" i="1"/>
  <c r="AZ53" i="1"/>
  <c r="BA53" i="1"/>
  <c r="BB53" i="1"/>
  <c r="BC53" i="1"/>
  <c r="BD53" i="1"/>
  <c r="BE53" i="1"/>
  <c r="BF53" i="1"/>
  <c r="BG53" i="1"/>
  <c r="D54" i="1"/>
  <c r="E54" i="1"/>
  <c r="F54" i="1"/>
  <c r="G54" i="1"/>
  <c r="H54" i="1"/>
  <c r="I54" i="1"/>
  <c r="J54" i="1"/>
  <c r="K54" i="1"/>
  <c r="L54" i="1"/>
  <c r="M54" i="1"/>
  <c r="N54" i="1"/>
  <c r="O54" i="1"/>
  <c r="P54" i="1"/>
  <c r="Q54" i="1"/>
  <c r="R54" i="1"/>
  <c r="S54" i="1"/>
  <c r="T54" i="1"/>
  <c r="U54" i="1"/>
  <c r="V54" i="1"/>
  <c r="W54" i="1"/>
  <c r="X54" i="1"/>
  <c r="Y54" i="1"/>
  <c r="Z54" i="1"/>
  <c r="AA54" i="1"/>
  <c r="AB54" i="1"/>
  <c r="AC54" i="1"/>
  <c r="AD54" i="1"/>
  <c r="AE54" i="1"/>
  <c r="AF54" i="1"/>
  <c r="AG54" i="1"/>
  <c r="AH54" i="1"/>
  <c r="AI54" i="1"/>
  <c r="AJ54" i="1"/>
  <c r="AK54" i="1"/>
  <c r="AL54" i="1"/>
  <c r="AM54" i="1"/>
  <c r="AN54" i="1"/>
  <c r="AO54" i="1"/>
  <c r="AP54" i="1"/>
  <c r="AQ54" i="1"/>
  <c r="AR54" i="1"/>
  <c r="AS54" i="1"/>
  <c r="AT54" i="1"/>
  <c r="AU54" i="1"/>
  <c r="AV54" i="1"/>
  <c r="AW54" i="1"/>
  <c r="AX54" i="1"/>
  <c r="AY54" i="1"/>
  <c r="AZ54" i="1"/>
  <c r="BA54" i="1"/>
  <c r="BB54" i="1"/>
  <c r="BC54" i="1"/>
  <c r="BD54" i="1"/>
  <c r="BE54" i="1"/>
  <c r="BF54" i="1"/>
  <c r="BG54" i="1"/>
  <c r="C37" i="1"/>
  <c r="C38" i="1"/>
  <c r="C39" i="1"/>
  <c r="C40" i="1"/>
  <c r="C41" i="1"/>
  <c r="C42" i="1"/>
  <c r="C43" i="1"/>
  <c r="C44" i="1"/>
  <c r="C45" i="1"/>
  <c r="C46" i="1"/>
  <c r="C47" i="1"/>
  <c r="C48" i="1"/>
  <c r="C49" i="1"/>
  <c r="C50" i="1"/>
  <c r="C51" i="1"/>
  <c r="C52" i="1"/>
  <c r="C53" i="1"/>
  <c r="C54" i="1"/>
  <c r="B40" i="1"/>
  <c r="B54" i="1"/>
  <c r="B53" i="1"/>
  <c r="A53" i="1"/>
  <c r="B52" i="1"/>
  <c r="A52" i="1"/>
  <c r="B51" i="1"/>
  <c r="A51" i="1"/>
  <c r="B50" i="1"/>
  <c r="A50" i="1"/>
  <c r="A49" i="1"/>
  <c r="A48" i="1"/>
  <c r="A47" i="1"/>
  <c r="B46" i="1"/>
  <c r="A46" i="1"/>
  <c r="A45" i="1"/>
  <c r="A44" i="1"/>
  <c r="B43" i="1"/>
  <c r="A43" i="1"/>
  <c r="B42" i="1"/>
  <c r="A42" i="1"/>
  <c r="B41" i="1"/>
  <c r="A41" i="1"/>
  <c r="A40" i="1"/>
  <c r="B39" i="1"/>
  <c r="A39" i="1"/>
  <c r="A38" i="1"/>
  <c r="A37" i="1"/>
  <c r="AH48" i="4"/>
  <c r="L48" i="4"/>
  <c r="BG54" i="4"/>
  <c r="BF54" i="4"/>
  <c r="BE54" i="4"/>
  <c r="BD54" i="4"/>
  <c r="BC54" i="4"/>
  <c r="BB54" i="4"/>
  <c r="BA54" i="4"/>
  <c r="AY54" i="4"/>
  <c r="AX54" i="4"/>
  <c r="AW54" i="4"/>
  <c r="AU54" i="4"/>
  <c r="AT54" i="4"/>
  <c r="AS54" i="4"/>
  <c r="AR54" i="4"/>
  <c r="AQ54" i="4"/>
  <c r="AK54" i="4"/>
  <c r="AI54" i="4"/>
  <c r="AH54" i="4"/>
  <c r="AE54" i="4"/>
  <c r="AB54" i="4"/>
  <c r="BG51" i="4"/>
  <c r="BF51" i="4"/>
  <c r="BE51" i="4"/>
  <c r="BD51" i="4"/>
  <c r="BC51" i="4"/>
  <c r="BB51" i="4"/>
  <c r="BA51" i="4"/>
  <c r="AY51" i="4"/>
  <c r="AX51" i="4"/>
  <c r="AW51" i="4"/>
  <c r="AU51" i="4"/>
  <c r="AT51" i="4"/>
  <c r="AS51" i="4"/>
  <c r="AR51" i="4"/>
  <c r="AQ51" i="4"/>
  <c r="AK51" i="4"/>
  <c r="AJ51" i="4"/>
  <c r="AI51" i="4"/>
  <c r="AH51" i="4"/>
  <c r="AE51" i="4"/>
  <c r="AC51" i="4"/>
  <c r="AB51" i="4"/>
  <c r="L51" i="4"/>
  <c r="K51" i="4"/>
  <c r="I51" i="4"/>
  <c r="B51" i="4"/>
  <c r="T42" i="4"/>
  <c r="H42" i="4"/>
  <c r="BG48" i="4"/>
  <c r="BF48" i="4"/>
  <c r="BE48" i="4"/>
  <c r="BD48" i="4"/>
  <c r="BC48" i="4"/>
  <c r="BB48" i="4"/>
  <c r="BA48" i="4"/>
  <c r="AY48" i="4"/>
  <c r="AX48" i="4"/>
  <c r="AW48" i="4"/>
  <c r="AU48" i="4"/>
  <c r="AT48" i="4"/>
  <c r="AS48" i="4"/>
  <c r="AR48" i="4"/>
  <c r="AQ48" i="4"/>
  <c r="AO48" i="4"/>
  <c r="AK48" i="4"/>
  <c r="AJ48" i="4"/>
  <c r="AI48" i="4"/>
  <c r="AE48" i="4"/>
  <c r="AC48" i="4"/>
  <c r="AB48" i="4"/>
  <c r="Y48" i="4"/>
  <c r="O48" i="4"/>
  <c r="M48" i="4"/>
  <c r="K48" i="4"/>
  <c r="J48" i="4"/>
  <c r="I48" i="4"/>
  <c r="B48" i="4"/>
  <c r="BG45" i="4"/>
  <c r="BF45" i="4"/>
  <c r="BE45" i="4"/>
  <c r="BD45" i="4"/>
  <c r="BC45" i="4"/>
  <c r="BB45" i="4"/>
  <c r="BA45" i="4"/>
  <c r="AY45" i="4"/>
  <c r="AX45" i="4"/>
  <c r="AW45" i="4"/>
  <c r="AV45" i="4"/>
  <c r="AU45" i="4"/>
  <c r="AT45" i="4"/>
  <c r="AS45" i="4"/>
  <c r="AR45" i="4"/>
  <c r="AQ45" i="4"/>
  <c r="AP45" i="4"/>
  <c r="AO45" i="4"/>
  <c r="AK45" i="4"/>
  <c r="AJ45" i="4"/>
  <c r="AI45" i="4"/>
  <c r="AH45" i="4"/>
  <c r="AG45" i="4"/>
  <c r="AE45" i="4"/>
  <c r="AC45" i="4"/>
  <c r="AB45" i="4"/>
  <c r="Z45" i="4"/>
  <c r="Y45" i="4"/>
  <c r="W45" i="4"/>
  <c r="Q45" i="4"/>
  <c r="O45" i="4"/>
  <c r="N45" i="4"/>
  <c r="M45" i="4"/>
  <c r="L45" i="4"/>
  <c r="K45" i="4"/>
  <c r="J45" i="4"/>
  <c r="I45" i="4"/>
  <c r="G45" i="4"/>
  <c r="E45" i="4"/>
  <c r="B45" i="4"/>
  <c r="BG42" i="4"/>
  <c r="BF42" i="4"/>
  <c r="BE42" i="4"/>
  <c r="BD42" i="4"/>
  <c r="BC42" i="4"/>
  <c r="BB42" i="4"/>
  <c r="BA42" i="4"/>
  <c r="AY42" i="4"/>
  <c r="AX42" i="4"/>
  <c r="AW42" i="4"/>
  <c r="AV42" i="4"/>
  <c r="AU42" i="4"/>
  <c r="AT42" i="4"/>
  <c r="AS42" i="4"/>
  <c r="AR42" i="4"/>
  <c r="AQ42" i="4"/>
  <c r="AP42" i="4"/>
  <c r="AO42" i="4"/>
  <c r="AL42" i="4"/>
  <c r="AK42" i="4"/>
  <c r="AJ42" i="4"/>
  <c r="AI42" i="4"/>
  <c r="AH42" i="4"/>
  <c r="AG42" i="4"/>
  <c r="AF42" i="4"/>
  <c r="AE42" i="4"/>
  <c r="AD42" i="4"/>
  <c r="AC42" i="4"/>
  <c r="AB42" i="4"/>
  <c r="AA42" i="4"/>
  <c r="Z42" i="4"/>
  <c r="Y42" i="4"/>
  <c r="W42" i="4"/>
  <c r="U42" i="4"/>
  <c r="S42" i="4"/>
  <c r="Q42" i="4"/>
  <c r="P42" i="4"/>
  <c r="O42" i="4"/>
  <c r="N42" i="4"/>
  <c r="M42" i="4"/>
  <c r="L42" i="4"/>
  <c r="K42" i="4"/>
  <c r="J42" i="4"/>
  <c r="I42" i="4"/>
  <c r="G42" i="4"/>
  <c r="E42" i="4"/>
  <c r="D42" i="4"/>
  <c r="B42" i="4"/>
  <c r="BG39" i="4"/>
  <c r="BF39" i="4"/>
  <c r="BE39" i="4"/>
  <c r="BD39" i="4"/>
  <c r="BC39" i="4"/>
  <c r="BB39" i="4"/>
  <c r="BA39" i="4"/>
  <c r="AY39" i="4"/>
  <c r="AX39" i="4"/>
  <c r="AW39" i="4"/>
  <c r="AV39" i="4"/>
  <c r="AU39" i="4"/>
  <c r="AT39" i="4"/>
  <c r="AS39" i="4"/>
  <c r="AR39" i="4"/>
  <c r="AQ39" i="4"/>
  <c r="AP39" i="4"/>
  <c r="AO39" i="4"/>
  <c r="AN39" i="4"/>
  <c r="AM39" i="4"/>
  <c r="AL39" i="4"/>
  <c r="AK39" i="4"/>
  <c r="AJ39" i="4"/>
  <c r="AI39" i="4"/>
  <c r="AH39" i="4"/>
  <c r="AG39" i="4"/>
  <c r="AF39" i="4"/>
  <c r="AE39" i="4"/>
  <c r="AD39" i="4"/>
  <c r="AC39" i="4"/>
  <c r="AB39" i="4"/>
  <c r="AA39" i="4"/>
  <c r="Z39" i="4"/>
  <c r="Y39" i="4"/>
  <c r="X39" i="4"/>
  <c r="W39" i="4"/>
  <c r="V39" i="4"/>
  <c r="U39" i="4"/>
  <c r="T39" i="4"/>
  <c r="S39" i="4"/>
  <c r="Q39" i="4"/>
  <c r="P39" i="4"/>
  <c r="O39" i="4"/>
  <c r="N39" i="4"/>
  <c r="M39" i="4"/>
  <c r="L39" i="4"/>
  <c r="K39" i="4"/>
  <c r="J39" i="4"/>
  <c r="I39" i="4"/>
  <c r="H39" i="4"/>
  <c r="G39" i="4"/>
  <c r="F39" i="4"/>
  <c r="E39" i="4"/>
  <c r="D39" i="4"/>
  <c r="C39" i="4"/>
  <c r="B39" i="4"/>
  <c r="BG36" i="4"/>
  <c r="BF36" i="4"/>
  <c r="BE36" i="4"/>
  <c r="BD36" i="4"/>
  <c r="BC36" i="4"/>
  <c r="BB36" i="4"/>
  <c r="BA36" i="4"/>
  <c r="AY36" i="4"/>
  <c r="AX36" i="4"/>
  <c r="AW36" i="4"/>
  <c r="AV36" i="4"/>
  <c r="AU36" i="4"/>
  <c r="AT36" i="4"/>
  <c r="AS36" i="4"/>
  <c r="AR36" i="4"/>
  <c r="AQ36" i="4"/>
  <c r="AP36" i="4"/>
  <c r="AO36" i="4"/>
  <c r="AN36" i="4"/>
  <c r="AM36" i="4"/>
  <c r="AL36" i="4"/>
  <c r="AK36" i="4"/>
  <c r="AJ36" i="4"/>
  <c r="AI36" i="4"/>
  <c r="AH36" i="4"/>
  <c r="AG36" i="4"/>
  <c r="AF36" i="4"/>
  <c r="AE36" i="4"/>
  <c r="AD36" i="4"/>
  <c r="AC36" i="4"/>
  <c r="AB36" i="4"/>
  <c r="AA36" i="4"/>
  <c r="Z36" i="4"/>
  <c r="Y36" i="4"/>
  <c r="X36" i="4"/>
  <c r="W36" i="4"/>
  <c r="V36" i="4"/>
  <c r="U36" i="4"/>
  <c r="T36" i="4"/>
  <c r="S36" i="4"/>
  <c r="Q36" i="4"/>
  <c r="P36" i="4"/>
  <c r="O36" i="4"/>
  <c r="N36" i="4"/>
  <c r="M36" i="4"/>
  <c r="L36" i="4"/>
  <c r="K36" i="4"/>
  <c r="J36" i="4"/>
  <c r="I36" i="4"/>
  <c r="H36" i="4"/>
  <c r="G36" i="4"/>
  <c r="F36" i="4"/>
  <c r="E36" i="4"/>
  <c r="D36" i="4"/>
  <c r="C36" i="4"/>
  <c r="B36" i="4"/>
  <c r="BG33" i="4"/>
  <c r="BF33" i="4"/>
  <c r="BE33" i="4"/>
  <c r="BD33" i="4"/>
  <c r="BC33" i="4"/>
  <c r="BB33" i="4"/>
  <c r="BA33" i="4"/>
  <c r="AY33" i="4"/>
  <c r="AX33"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X33" i="4"/>
  <c r="W33" i="4"/>
  <c r="V33" i="4"/>
  <c r="U33" i="4"/>
  <c r="T33" i="4"/>
  <c r="S33" i="4"/>
  <c r="Q33" i="4"/>
  <c r="P33" i="4"/>
  <c r="O33" i="4"/>
  <c r="N33" i="4"/>
  <c r="M33" i="4"/>
  <c r="L33" i="4"/>
  <c r="K33" i="4"/>
  <c r="J33" i="4"/>
  <c r="I33" i="4"/>
  <c r="H33" i="4"/>
  <c r="G33" i="4"/>
  <c r="F33" i="4"/>
  <c r="E33" i="4"/>
  <c r="D33" i="4"/>
  <c r="C33" i="4"/>
  <c r="B33" i="4"/>
  <c r="BG30" i="4"/>
  <c r="BF30" i="4"/>
  <c r="BE30" i="4"/>
  <c r="BD30" i="4"/>
  <c r="BC30" i="4"/>
  <c r="BB30" i="4"/>
  <c r="BA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Q30" i="4"/>
  <c r="P30" i="4"/>
  <c r="O30" i="4"/>
  <c r="N30" i="4"/>
  <c r="M30" i="4"/>
  <c r="L30" i="4"/>
  <c r="K30" i="4"/>
  <c r="J30" i="4"/>
  <c r="I30" i="4"/>
  <c r="H30" i="4"/>
  <c r="G30" i="4"/>
  <c r="F30" i="4"/>
  <c r="E30" i="4"/>
  <c r="D30" i="4"/>
  <c r="C30" i="4"/>
  <c r="B30" i="4"/>
  <c r="BG27" i="4"/>
  <c r="BF27" i="4"/>
  <c r="BE27" i="4"/>
  <c r="BD27" i="4"/>
  <c r="BC27" i="4"/>
  <c r="BB27" i="4"/>
  <c r="BA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Q27" i="4"/>
  <c r="P27" i="4"/>
  <c r="O27" i="4"/>
  <c r="N27" i="4"/>
  <c r="M27" i="4"/>
  <c r="L27" i="4"/>
  <c r="K27" i="4"/>
  <c r="J27" i="4"/>
  <c r="I27" i="4"/>
  <c r="H27" i="4"/>
  <c r="G27" i="4"/>
  <c r="F27" i="4"/>
  <c r="E27" i="4"/>
  <c r="D27" i="4"/>
  <c r="C27" i="4"/>
  <c r="B27" i="4"/>
  <c r="BG24" i="4"/>
  <c r="BF24" i="4"/>
  <c r="BE24" i="4"/>
  <c r="BD24" i="4"/>
  <c r="BC24" i="4"/>
  <c r="BB24" i="4"/>
  <c r="BA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Q24" i="4"/>
  <c r="P24" i="4"/>
  <c r="O24" i="4"/>
  <c r="N24" i="4"/>
  <c r="M24" i="4"/>
  <c r="L24" i="4"/>
  <c r="K24" i="4"/>
  <c r="J24" i="4"/>
  <c r="I24" i="4"/>
  <c r="H24" i="4"/>
  <c r="G24" i="4"/>
  <c r="F24" i="4"/>
  <c r="E24" i="4"/>
  <c r="D24" i="4"/>
  <c r="C24" i="4"/>
  <c r="B24" i="4"/>
  <c r="BG21" i="4"/>
  <c r="BF21" i="4"/>
  <c r="BE21" i="4"/>
  <c r="BD21" i="4"/>
  <c r="BC21" i="4"/>
  <c r="BB21" i="4"/>
  <c r="BA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Q21" i="4"/>
  <c r="P21" i="4"/>
  <c r="O21" i="4"/>
  <c r="N21" i="4"/>
  <c r="M21" i="4"/>
  <c r="L21" i="4"/>
  <c r="K21" i="4"/>
  <c r="J21" i="4"/>
  <c r="I21" i="4"/>
  <c r="H21" i="4"/>
  <c r="G21" i="4"/>
  <c r="F21" i="4"/>
  <c r="E21" i="4"/>
  <c r="D21" i="4"/>
  <c r="C21" i="4"/>
  <c r="B21" i="4"/>
  <c r="BG18" i="4"/>
  <c r="BF18" i="4"/>
  <c r="BE18" i="4"/>
  <c r="BD18" i="4"/>
  <c r="BC18" i="4"/>
  <c r="BB18" i="4"/>
  <c r="BA18" i="4"/>
  <c r="AZ18" i="4"/>
  <c r="AY18" i="4"/>
  <c r="AX18" i="4"/>
  <c r="AW18" i="4"/>
  <c r="AV18" i="4"/>
  <c r="AU18" i="4"/>
  <c r="AT18" i="4"/>
  <c r="AS18" i="4"/>
  <c r="AR18" i="4"/>
  <c r="AQ18" i="4"/>
  <c r="AP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C18" i="4"/>
  <c r="D18" i="4"/>
  <c r="E18" i="4"/>
  <c r="F18" i="4"/>
  <c r="G18" i="4"/>
  <c r="AL18" i="4"/>
  <c r="AM18" i="4"/>
  <c r="AN18" i="4"/>
  <c r="AO18" i="4"/>
  <c r="B18"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<sst xmlns="http://schemas.openxmlformats.org/spreadsheetml/2006/main" count="5837" uniqueCount="690">
  <si>
    <t>Name</t>
  </si>
  <si>
    <t>A-25-CD2-001</t>
  </si>
  <si>
    <t>A-25-CD2-002</t>
  </si>
  <si>
    <t>A-25-CD2-003</t>
  </si>
  <si>
    <t>A-25-CD2-004</t>
  </si>
  <si>
    <t>A-25-CD2-005</t>
  </si>
  <si>
    <t>A-25-CD2-006</t>
  </si>
  <si>
    <t>A-25-CD2-007</t>
  </si>
  <si>
    <t>A-25-CD2-008</t>
  </si>
  <si>
    <t>A-25-CD2-009</t>
  </si>
  <si>
    <t>A-25-CD2-010</t>
  </si>
  <si>
    <t>A-25-CD2-011</t>
  </si>
  <si>
    <t>A-25-CD2-012</t>
  </si>
  <si>
    <t>A-25-CD2-013</t>
  </si>
  <si>
    <t>A-25-CD2-014</t>
  </si>
  <si>
    <t>A-25-CD2-015</t>
  </si>
  <si>
    <t>A-25-CD2-016</t>
  </si>
  <si>
    <t>A-25-CD2-017</t>
  </si>
  <si>
    <t>A-25-CD2-018</t>
  </si>
  <si>
    <t>A-25-CD2-019</t>
  </si>
  <si>
    <t>A-25-CD2-020</t>
  </si>
  <si>
    <t>A-25-CD2-021</t>
  </si>
  <si>
    <t>A-25-CD2-022</t>
  </si>
  <si>
    <t>A-25-CD2-023</t>
  </si>
  <si>
    <t>A-25-CD2-024</t>
  </si>
  <si>
    <t>A-25-CD2-025</t>
  </si>
  <si>
    <t>A-25-CD2-026</t>
  </si>
  <si>
    <t>A-25-CD2-027</t>
  </si>
  <si>
    <t>A-25-CD2-028</t>
  </si>
  <si>
    <t>A-25-CD2-029</t>
  </si>
  <si>
    <t>A-25-CD2-030</t>
  </si>
  <si>
    <t>A-25-CD2-031</t>
  </si>
  <si>
    <t>A-25-CD2-032</t>
  </si>
  <si>
    <t>A-25-CD2-033</t>
  </si>
  <si>
    <t>A-25-CD2-034</t>
  </si>
  <si>
    <t>A-25-CD2-035</t>
  </si>
  <si>
    <t>A-25-CD2-036</t>
  </si>
  <si>
    <t>A-25-CD2-037</t>
  </si>
  <si>
    <t>A-25-CD2-038</t>
  </si>
  <si>
    <t>A-25-CD2-039</t>
  </si>
  <si>
    <t>A-25-CD2-040</t>
  </si>
  <si>
    <t>A-25-CD2-041</t>
  </si>
  <si>
    <t>A-25-CD2-042</t>
  </si>
  <si>
    <t>A-25-CD2-043</t>
  </si>
  <si>
    <t>A-25-CD2-044</t>
  </si>
  <si>
    <t>A-25-CD2-045</t>
  </si>
  <si>
    <t>A-25-CD2-046</t>
  </si>
  <si>
    <t>A-25-CD2-047</t>
  </si>
  <si>
    <t>A-25-CD2-048</t>
  </si>
  <si>
    <t>A-25-CD2-049</t>
  </si>
  <si>
    <t>A-25-CD2-050</t>
  </si>
  <si>
    <t>A-25-CD2-051</t>
  </si>
  <si>
    <t>A-25-CD2-052</t>
  </si>
  <si>
    <t>A-25-CD2-053</t>
  </si>
  <si>
    <t>A-25-CD2-054</t>
  </si>
  <si>
    <t>A-25-CD2-055</t>
  </si>
  <si>
    <t>A-25-CD2-056</t>
  </si>
  <si>
    <t>A-25-CD2-057</t>
  </si>
  <si>
    <t>A-25-CD2-058</t>
  </si>
  <si>
    <t>Sex</t>
  </si>
  <si>
    <t>Male</t>
  </si>
  <si>
    <t>Birth Date</t>
  </si>
  <si>
    <t>Generation</t>
  </si>
  <si>
    <t>F1 Cross</t>
  </si>
  <si>
    <t>Parent Mating ID</t>
  </si>
  <si>
    <t>M-CD2-25-01</t>
  </si>
  <si>
    <t>M-CD2-25-02</t>
  </si>
  <si>
    <t>M-CD2-25-03</t>
  </si>
  <si>
    <t>M-CD2-25-05</t>
  </si>
  <si>
    <t>M-CD2-25-06</t>
  </si>
  <si>
    <t>M-CD2-25-07</t>
  </si>
  <si>
    <t>M-CD2-25-09</t>
  </si>
  <si>
    <t>M-CD2-25-08</t>
  </si>
  <si>
    <t>M-CD2-25-10</t>
  </si>
  <si>
    <t>M-CD2-25-04</t>
  </si>
  <si>
    <t>Sire</t>
  </si>
  <si>
    <t>A-25-DBA2J-001</t>
  </si>
  <si>
    <t>A-25-DBA2J-002</t>
  </si>
  <si>
    <t>A-25-DBA2J-003</t>
  </si>
  <si>
    <t>A-25-DBA2J-005</t>
  </si>
  <si>
    <t>A-25-DBA2J-006</t>
  </si>
  <si>
    <t>A-25-DBA2J-007</t>
  </si>
  <si>
    <t>A-25-DBA2J-009</t>
  </si>
  <si>
    <t>A-25-DBA2J-008</t>
  </si>
  <si>
    <t>A-25-DBA2J-010</t>
  </si>
  <si>
    <t>A-25-DBA2J-004</t>
  </si>
  <si>
    <t>Dam 1</t>
  </si>
  <si>
    <t>A-25-BALBCJ-001</t>
  </si>
  <si>
    <t>A-25-BALBCJ-003</t>
  </si>
  <si>
    <t>A-25-BALBCJ-005</t>
  </si>
  <si>
    <t>A-25-BALBCJ-009</t>
  </si>
  <si>
    <t>A-25-BALBCJ-011</t>
  </si>
  <si>
    <t>A-25-BALBCJ-013</t>
  </si>
  <si>
    <t>A-25-BALBCJ-017</t>
  </si>
  <si>
    <t>A-25-BALBCJ-015</t>
  </si>
  <si>
    <t>A-25-BALBCJ-019</t>
  </si>
  <si>
    <t>A-25-BALBCJ-007</t>
  </si>
  <si>
    <t>Dam 2</t>
  </si>
  <si>
    <t>A-25-BALBCJ-002</t>
  </si>
  <si>
    <t>A-25-BALBCJ-004</t>
  </si>
  <si>
    <t>A-25-BALBCJ-006</t>
  </si>
  <si>
    <t>A-25-BALBCJ-010</t>
  </si>
  <si>
    <t>A-25-BALBCJ-012</t>
  </si>
  <si>
    <t>A-25-BALBCJ-014</t>
  </si>
  <si>
    <t>A-25-BALBCJ-018</t>
  </si>
  <si>
    <t>A-25-BALBCJ-016</t>
  </si>
  <si>
    <t>A-25-BALBCJ-020</t>
  </si>
  <si>
    <t>A-25-BALBCJ-008</t>
  </si>
  <si>
    <t>Housing ID</t>
  </si>
  <si>
    <t>H-CD2F1-01</t>
  </si>
  <si>
    <t>H-CD2F1-02</t>
  </si>
  <si>
    <t>H-CD2F1-03</t>
  </si>
  <si>
    <t>H-CD2F1-04</t>
  </si>
  <si>
    <t>H-CD2F1-05</t>
  </si>
  <si>
    <t>H-CD2F1-06</t>
  </si>
  <si>
    <t>H-CD2F1-07</t>
  </si>
  <si>
    <t>H-CD2F1-08</t>
  </si>
  <si>
    <t>H-CD2F1-09</t>
  </si>
  <si>
    <t>H-CD2F1-10</t>
  </si>
  <si>
    <t>H-CD2F1-11</t>
  </si>
  <si>
    <t>H-CD2F1-12</t>
  </si>
  <si>
    <t>H-CD2F1-13</t>
  </si>
  <si>
    <t>H-CD2F1-14</t>
  </si>
  <si>
    <t>H-CD2F1-15</t>
  </si>
  <si>
    <t>H-CD2F1-16</t>
  </si>
  <si>
    <t>H-CD2F1-17</t>
  </si>
  <si>
    <t>H-CD2F1-18</t>
  </si>
  <si>
    <t>H-CD2F1-19</t>
  </si>
  <si>
    <t>H-CD2F1-20</t>
  </si>
  <si>
    <t>Location</t>
  </si>
  <si>
    <t>D-2</t>
  </si>
  <si>
    <t>C-3</t>
  </si>
  <si>
    <t>E-3</t>
  </si>
  <si>
    <t>D-4</t>
  </si>
  <si>
    <t>F-4</t>
  </si>
  <si>
    <t>C-6</t>
  </si>
  <si>
    <t>G-4</t>
  </si>
  <si>
    <t>F-6</t>
  </si>
  <si>
    <t>B-3</t>
  </si>
  <si>
    <t>C-4</t>
  </si>
  <si>
    <t>D-5</t>
  </si>
  <si>
    <t>E-6</t>
  </si>
  <si>
    <t>D-3</t>
  </si>
  <si>
    <t>A-5</t>
  </si>
  <si>
    <t>A-3</t>
  </si>
  <si>
    <t>F-3</t>
  </si>
  <si>
    <t>B-4</t>
  </si>
  <si>
    <t>C-5</t>
  </si>
  <si>
    <t>A-4</t>
  </si>
  <si>
    <t>B-5</t>
  </si>
  <si>
    <t>Tag</t>
  </si>
  <si>
    <t>Brown</t>
  </si>
  <si>
    <t>Red</t>
  </si>
  <si>
    <t>Black</t>
  </si>
  <si>
    <t>Cells or Vehicle</t>
  </si>
  <si>
    <t>CT-26</t>
  </si>
  <si>
    <t>Vehicle</t>
  </si>
  <si>
    <t>Number of Cells</t>
  </si>
  <si>
    <t>1 Million</t>
  </si>
  <si>
    <t>Volume Injected</t>
  </si>
  <si>
    <r>
      <t>100</t>
    </r>
    <r>
      <rPr>
        <sz val="11"/>
        <rFont val="Calibri"/>
        <family val="2"/>
      </rPr>
      <t>µl</t>
    </r>
  </si>
  <si>
    <t>100µl</t>
  </si>
  <si>
    <t>BCS</t>
  </si>
  <si>
    <t>N/A</t>
  </si>
  <si>
    <t>Weights</t>
  </si>
  <si>
    <t>23.6, FD</t>
  </si>
  <si>
    <t>Measurements</t>
  </si>
  <si>
    <t>Length 10/17</t>
  </si>
  <si>
    <t>Width 10/17</t>
  </si>
  <si>
    <t>Total 10/17</t>
  </si>
  <si>
    <t>Length 10/20</t>
  </si>
  <si>
    <t>Width 10/20</t>
  </si>
  <si>
    <t>Total 10/20</t>
  </si>
  <si>
    <t>Length 10/22</t>
  </si>
  <si>
    <t>Width 10/22</t>
  </si>
  <si>
    <t>Total 10/22</t>
  </si>
  <si>
    <t>Length 10/24</t>
  </si>
  <si>
    <t>Width 10/24</t>
  </si>
  <si>
    <t>Total 10/24</t>
  </si>
  <si>
    <t>Length 10/27</t>
  </si>
  <si>
    <t>Width 10/27</t>
  </si>
  <si>
    <t>Total 10/27</t>
  </si>
  <si>
    <t>Length 10/29</t>
  </si>
  <si>
    <t>Width 10/29</t>
  </si>
  <si>
    <t>Total 10/29</t>
  </si>
  <si>
    <t>Length 10/31</t>
  </si>
  <si>
    <t>Width 10/31</t>
  </si>
  <si>
    <t>Total 10/31</t>
  </si>
  <si>
    <t>Length 11/3</t>
  </si>
  <si>
    <t>Width 11/3</t>
  </si>
  <si>
    <t>Total 11/3</t>
  </si>
  <si>
    <t>Length 11/5</t>
  </si>
  <si>
    <t>Width 11/5</t>
  </si>
  <si>
    <t>Total 11/5</t>
  </si>
  <si>
    <t>Length 11/7</t>
  </si>
  <si>
    <t>Width 11/7</t>
  </si>
  <si>
    <t>Total 11/7</t>
  </si>
  <si>
    <t>Length 11/10</t>
  </si>
  <si>
    <t>Width 11/10</t>
  </si>
  <si>
    <t>Total 11/10</t>
  </si>
  <si>
    <t>Length 11/12</t>
  </si>
  <si>
    <t>Width 11/12</t>
  </si>
  <si>
    <t>Total 11/12</t>
  </si>
  <si>
    <t>Length 11/14</t>
  </si>
  <si>
    <t>Width 11/14</t>
  </si>
  <si>
    <t>Total 11/14</t>
  </si>
  <si>
    <t>Notes</t>
  </si>
  <si>
    <t>BLACK eartag</t>
  </si>
  <si>
    <t>BROWN eartag</t>
  </si>
  <si>
    <t>antsy and jumpy</t>
  </si>
  <si>
    <t>left eartag ripped out - cannot be replaced - antsy and jumpy</t>
  </si>
  <si>
    <t>jumpy box</t>
  </si>
  <si>
    <t>antsy jumper</t>
  </si>
  <si>
    <t>jumpy</t>
  </si>
  <si>
    <t>Edges, hard to measure</t>
  </si>
  <si>
    <t>above the hip, possible inflamation</t>
  </si>
  <si>
    <t>broken toe nail, inflamation, nothing to measure</t>
  </si>
  <si>
    <t>slight edges starting</t>
  </si>
  <si>
    <t>slight edges starting, hard to measure</t>
  </si>
  <si>
    <t>possible start to tumor, but not measurable</t>
  </si>
  <si>
    <t>Irritable, twitchy, bump with soft edges, hard to measure</t>
  </si>
  <si>
    <t>slight inflamation, but not measureable</t>
  </si>
  <si>
    <t>very slight edges, puffy, hard to measure</t>
  </si>
  <si>
    <t>tumor higher, puffy, hard to measure, squaky</t>
  </si>
  <si>
    <t>by hip, slight edges, puffy, hard to measure</t>
  </si>
  <si>
    <t>slight edges, hard to measure</t>
  </si>
  <si>
    <t>higher, puffy, slight edges, hard to measure</t>
  </si>
  <si>
    <t>puffy, slight edges, hard to measure</t>
  </si>
  <si>
    <t>Lifting right rear foot, red and enflamed, not moving it, floppy, very small puffy, hard to measure tumor. Euthanized per Madison</t>
  </si>
  <si>
    <t>puffy, but not measurable</t>
  </si>
  <si>
    <t>nothing measureable</t>
  </si>
  <si>
    <t>high near ribs, very little edges, hard to measure</t>
  </si>
  <si>
    <t>puffy, slight edges, puffy, hard to measure</t>
  </si>
  <si>
    <t>in fat, slight edges, hard to measure</t>
  </si>
  <si>
    <t>higher, slight edges, hard to measure</t>
  </si>
  <si>
    <t>in fat, not measureable</t>
  </si>
  <si>
    <t>says box is connecting. Puffy, hard to measure</t>
  </si>
  <si>
    <t>high up, puffy, edges, nothing measureable</t>
  </si>
  <si>
    <t>box says connecting, very slight edges, hi up, hard to measure</t>
  </si>
  <si>
    <t>in fat, very puffy, hard to measure</t>
  </si>
  <si>
    <t>nothing measureable, just slightly puffy</t>
  </si>
  <si>
    <t>very slight edges, higher up, hard to measure</t>
  </si>
  <si>
    <t>deep in fat, hard to measure</t>
  </si>
  <si>
    <t>higher, near ribs, slight line, puffy, hard to measure</t>
  </si>
  <si>
    <t>box says offline for study, jumpy, higher, puffy, hard to measure</t>
  </si>
  <si>
    <t>higher in fat, slight lines, hard to measure</t>
  </si>
  <si>
    <t>box says connecting, higher on ribs, taller, puffy, hard to measure</t>
  </si>
  <si>
    <t>edges, puffy, hard to measure</t>
  </si>
  <si>
    <t>nothing measureable, jumpy, irritable</t>
  </si>
  <si>
    <t>puffy, no edges, not measureable</t>
  </si>
  <si>
    <t>nothing measureable, left rear leg limp, no weight on leg, euthanized</t>
  </si>
  <si>
    <t>Up higher, whisker picked</t>
  </si>
  <si>
    <t>Closer to the back</t>
  </si>
  <si>
    <t>above the hip, hard to measure</t>
  </si>
  <si>
    <t>hard to measure</t>
  </si>
  <si>
    <t>more defined tumor, edges</t>
  </si>
  <si>
    <t>small with slight edges</t>
  </si>
  <si>
    <t>Irritable, twitchy, more defined</t>
  </si>
  <si>
    <t>defined, broken toe nail</t>
  </si>
  <si>
    <t>puffy but defined</t>
  </si>
  <si>
    <t>taller, defined, edges starting</t>
  </si>
  <si>
    <t>defined</t>
  </si>
  <si>
    <t>getting more defined</t>
  </si>
  <si>
    <t>twitchy, getting edges</t>
  </si>
  <si>
    <t>taller, getting edges</t>
  </si>
  <si>
    <t>defined edges</t>
  </si>
  <si>
    <t>not defined, hard to measure</t>
  </si>
  <si>
    <t>starting to get edges, higher near ribs</t>
  </si>
  <si>
    <t>defined, but no edges</t>
  </si>
  <si>
    <t>taller</t>
  </si>
  <si>
    <t>higher up, defined, starting to get edges</t>
  </si>
  <si>
    <t>higher, starting to get edges, taller</t>
  </si>
  <si>
    <t>tall and defined, no edges</t>
  </si>
  <si>
    <t>above hip, defined, edges</t>
  </si>
  <si>
    <t>no tumor</t>
  </si>
  <si>
    <t>says box is connecting. Starting to get edges</t>
  </si>
  <si>
    <t>defined, starting to get edges</t>
  </si>
  <si>
    <t>says box is connecting. Taller in the middle</t>
  </si>
  <si>
    <t>starting to get defined, no edges</t>
  </si>
  <si>
    <t>defined with edges</t>
  </si>
  <si>
    <t>starting to get edges, defined</t>
  </si>
  <si>
    <t>close to hip, getting defined</t>
  </si>
  <si>
    <t>higher, hard to measure</t>
  </si>
  <si>
    <t>box says offline for study monitored. Starting to get edges, defined</t>
  </si>
  <si>
    <t>start to get edges, hard to measure</t>
  </si>
  <si>
    <t>box says connecting. On ribs, edges, defined</t>
  </si>
  <si>
    <t>towards back, getting defined</t>
  </si>
  <si>
    <t>closer to ribs, starting to get defined</t>
  </si>
  <si>
    <t>Closer to the back, defined, getting edges</t>
  </si>
  <si>
    <t>above the hip, deep, hard to measure</t>
  </si>
  <si>
    <t>above the hip, defined with edges</t>
  </si>
  <si>
    <t>hard to measure, some edges</t>
  </si>
  <si>
    <t>more defined tumor, edges, higher up</t>
  </si>
  <si>
    <t>more defined with slight edges</t>
  </si>
  <si>
    <t>defined, no edges</t>
  </si>
  <si>
    <t>defined with edges, higher up</t>
  </si>
  <si>
    <t>defined, higher up, edges</t>
  </si>
  <si>
    <t>defined, edges</t>
  </si>
  <si>
    <t>defined, edges, closer to back</t>
  </si>
  <si>
    <t>very defined, tall, edges</t>
  </si>
  <si>
    <t>near hip, edges starting, hard to measure</t>
  </si>
  <si>
    <t>higher near ribs, defined, edges</t>
  </si>
  <si>
    <t>defined, edges starting</t>
  </si>
  <si>
    <t>higher up, defined with edges</t>
  </si>
  <si>
    <t>higher, defined with edges, taller</t>
  </si>
  <si>
    <t>says box is connecting. Starting to get edges, more defined</t>
  </si>
  <si>
    <t>says box is connecting. Taller in the middle, more defined</t>
  </si>
  <si>
    <t>higher, more defined</t>
  </si>
  <si>
    <t>box says offline for study monitored. Starting to defined</t>
  </si>
  <si>
    <t>defined, getting edges</t>
  </si>
  <si>
    <t>box says connecting. On ribs, edges, defined, tall</t>
  </si>
  <si>
    <t>towards back, defined with edges</t>
  </si>
  <si>
    <t>defined with edges, towards back</t>
  </si>
  <si>
    <t>more defined with edges, towards back</t>
  </si>
  <si>
    <t>defined, whisker picked</t>
  </si>
  <si>
    <t>no definition, puffy, in hip, whisker picked</t>
  </si>
  <si>
    <t>puffy, slight edges, in fat</t>
  </si>
  <si>
    <t>somewhat defined, puffy with edges, whisker picked</t>
  </si>
  <si>
    <t>puffly, slight edges, defined</t>
  </si>
  <si>
    <t>small bumps together measured as one in a cluster, defined</t>
  </si>
  <si>
    <t>higher up, defined</t>
  </si>
  <si>
    <t>puffy, deeper, harder to measure</t>
  </si>
  <si>
    <t>in hip, defined</t>
  </si>
  <si>
    <t>higher up, defined edges</t>
  </si>
  <si>
    <t>slightly feel the spine but solid 3, defined tumor</t>
  </si>
  <si>
    <t>defined tumor with edges</t>
  </si>
  <si>
    <t>very puffy, slight edges</t>
  </si>
  <si>
    <t>higher edges and defined</t>
  </si>
  <si>
    <t>very puffy and in fat with edges</t>
  </si>
  <si>
    <t>slightly ruffled, defined tumor, tall</t>
  </si>
  <si>
    <t>defined tumor, tall</t>
  </si>
  <si>
    <t>puffy with some edges, harder to measure</t>
  </si>
  <si>
    <t>tall with defined edges</t>
  </si>
  <si>
    <t>tag missing left ear, tall, defined edges</t>
  </si>
  <si>
    <t>whisker picked, deeper tumor, edges, harder to measure</t>
  </si>
  <si>
    <t>whisker picked, defined edges</t>
  </si>
  <si>
    <t>defined tumor</t>
  </si>
  <si>
    <t>puffy defined with edges</t>
  </si>
  <si>
    <t>deep tumor, hard to measure, with edges</t>
  </si>
  <si>
    <t>slight feel of spine but still 3 - tumor deeper, edges</t>
  </si>
  <si>
    <t>feel spine but still a 3 - puffy, inflamed - larger tumor - defined</t>
  </si>
  <si>
    <t>puffy hard to measure, deep</t>
  </si>
  <si>
    <t>deep puffy tumor, slight edges</t>
  </si>
  <si>
    <t>right ear tag being chewed on - edges - puffy and deep - hard to measure</t>
  </si>
  <si>
    <t>feel spine. Almost a 2.75, higher up, edges of tumor</t>
  </si>
  <si>
    <t>slightl spine, still a 3, closer to spine and high up with edges</t>
  </si>
  <si>
    <t>antsy want to run off - ear tags chewed - no tumor</t>
  </si>
  <si>
    <t>puffy deep and hard to measure</t>
  </si>
  <si>
    <t>tag chewed around edges - no tumor</t>
  </si>
  <si>
    <t>deep, edges, higher up</t>
  </si>
  <si>
    <t xml:space="preserve"> tall defined, whisker picked</t>
  </si>
  <si>
    <t>kidney shaped, defined</t>
  </si>
  <si>
    <t>no definition, puffy, in hip, whisker picked, hard to measure</t>
  </si>
  <si>
    <t>defined, in fat</t>
  </si>
  <si>
    <t>2 bumps measured together, whisker picked, flat for its size</t>
  </si>
  <si>
    <t>defined, closer to back, tall, whisker picked</t>
  </si>
  <si>
    <t>mouse irritable, flatter in middle</t>
  </si>
  <si>
    <t>taller, defined</t>
  </si>
  <si>
    <t>small bumps together measured as one in a cluser, defined, flatter</t>
  </si>
  <si>
    <t>flatter</t>
  </si>
  <si>
    <t>flatter, by hip</t>
  </si>
  <si>
    <t>taller and defined</t>
  </si>
  <si>
    <t>2 tumors together</t>
  </si>
  <si>
    <t>taller tumor</t>
  </si>
  <si>
    <t>smaller bump attached</t>
  </si>
  <si>
    <t>puffy</t>
  </si>
  <si>
    <t>defined, up higher</t>
  </si>
  <si>
    <t>2 bumps together</t>
  </si>
  <si>
    <t>defined, above hip</t>
  </si>
  <si>
    <t>tall tumor, starting to feel spine but a 3</t>
  </si>
  <si>
    <t>taller, ear notch red</t>
  </si>
  <si>
    <t>tall, higher up</t>
  </si>
  <si>
    <t>starting to feel spine, but a 3, taller by hip</t>
  </si>
  <si>
    <t>box says connecting, flat tumor</t>
  </si>
  <si>
    <t>tall, higher up, whisker picked</t>
  </si>
  <si>
    <t>says box is connecting. Taller and defined</t>
  </si>
  <si>
    <t>tall, near hip</t>
  </si>
  <si>
    <t>deeper and flat</t>
  </si>
  <si>
    <t>defined large tumor</t>
  </si>
  <si>
    <t>towards the back, groug of clumps together, hard to measure</t>
  </si>
  <si>
    <t>flat and hard to measure</t>
  </si>
  <si>
    <t>right ear tag being chewed on - odd shape - hard to measure</t>
  </si>
  <si>
    <t>almost 2.75, taller by spine</t>
  </si>
  <si>
    <t>ear tags chewed, no tumor</t>
  </si>
  <si>
    <t>higher, towards the back</t>
  </si>
  <si>
    <t>almost 2.75, tumor on ribs</t>
  </si>
  <si>
    <t>defined tumor, water changed due to floaties</t>
  </si>
  <si>
    <t>can feel spine but still a 3. defined, water changed due to floaties</t>
  </si>
  <si>
    <t>tumor on back, puffy, deeper tumor, hard to measure, water changed due to floaties</t>
  </si>
  <si>
    <t>tall tumor - odd shape, water changed due to floaties</t>
  </si>
  <si>
    <t>longer tumor, water changed due to floaties</t>
  </si>
  <si>
    <t>tear drop tumor shape, water changed due to floaties</t>
  </si>
  <si>
    <t>tall tumor, water changed due to floaties</t>
  </si>
  <si>
    <t>very round, water changed due to floaties</t>
  </si>
  <si>
    <t>feel a bit of spine still a 3, tall , water changed due to floaties</t>
  </si>
  <si>
    <t>tall tumor on one side, water changed due to floaties</t>
  </si>
  <si>
    <t>feel the spine but still a 3, less defined, water changed due to floaties</t>
  </si>
  <si>
    <t>lower tumor, defined, water changed due to floaties</t>
  </si>
  <si>
    <t>teardrop shaped, water changed due to floaties</t>
  </si>
  <si>
    <t>smaller mouse, tall tumor, tight</t>
  </si>
  <si>
    <t>large tumor, tall on the front,</t>
  </si>
  <si>
    <t>large tumor, softer, above leg, water changed due to floaties</t>
  </si>
  <si>
    <t>long and skinny, water changed due to floaties</t>
  </si>
  <si>
    <t>fiesty mouse. Wider tumor, water changed due to floaties</t>
  </si>
  <si>
    <t>tall round tumor, water changed due to floaties</t>
  </si>
  <si>
    <t>feel spine but still at 3, round and tall, water changed due to floaties</t>
  </si>
  <si>
    <t>ripped out eartag, tumor low and tall, water changed due to floaties</t>
  </si>
  <si>
    <t>no tumor, water changed due to floaties</t>
  </si>
  <si>
    <t>very healthy, deep tumor, not defined, spread out, group of bumps together, water changed due to floaties</t>
  </si>
  <si>
    <t>feel spine but still a 3, whisker picked, tall, tumor is slightly pink, water changed due to floaties</t>
  </si>
  <si>
    <t>good triangle shaped, water changed due to floaties</t>
  </si>
  <si>
    <t>feel spine but close to 2.75, low tumor, tall, water changed due to floaties</t>
  </si>
  <si>
    <t>small tumor, defined, not tall, water changed due to floaties</t>
  </si>
  <si>
    <t>low tall tumor, water changed due to floaties</t>
  </si>
  <si>
    <t>large tumor, square</t>
  </si>
  <si>
    <t>close to 2.75 bcs, tumor tall for size</t>
  </si>
  <si>
    <t>deeper tumor not as defined, harder to measure</t>
  </si>
  <si>
    <t>feel the spine but still a 3, in fat but measurable, water changed</t>
  </si>
  <si>
    <t>larger, movable tumor, hard to see edges - water changed floaties</t>
  </si>
  <si>
    <t>no tumor water changed floaties</t>
  </si>
  <si>
    <t>still a 3, smaller, farther back</t>
  </si>
  <si>
    <t>tumor is deep</t>
  </si>
  <si>
    <t>slightly deep tumor</t>
  </si>
  <si>
    <t>closer to back, defined</t>
  </si>
  <si>
    <t>odd shaped</t>
  </si>
  <si>
    <t>flatter tumor</t>
  </si>
  <si>
    <t>very round</t>
  </si>
  <si>
    <t>two tumors together</t>
  </si>
  <si>
    <t>round tumor</t>
  </si>
  <si>
    <t>feel a bit of spine still a 3</t>
  </si>
  <si>
    <t>two tumors together, can feel spine, but still a 3</t>
  </si>
  <si>
    <t>defined, tear drop shaped</t>
  </si>
  <si>
    <t>feel the spine but still a 3, round tumor</t>
  </si>
  <si>
    <t>lower tumor</t>
  </si>
  <si>
    <t>tumor getting pink</t>
  </si>
  <si>
    <t>pink in spots on tumor, can feel the spine a little, but still a 3</t>
  </si>
  <si>
    <t>tall tumor, very pink in spots, can feel spine but still a 3, changed water, low and floaties</t>
  </si>
  <si>
    <t>smaller area on tumor very pink</t>
  </si>
  <si>
    <t>softer round tumor, not defined</t>
  </si>
  <si>
    <t>long and skinny tumor</t>
  </si>
  <si>
    <t>fiesty mouse, round tumor</t>
  </si>
  <si>
    <t>tear drop shaped, tumor slightly pink</t>
  </si>
  <si>
    <t>very tall, round tumor</t>
  </si>
  <si>
    <t>very round and tall, starting to get pink</t>
  </si>
  <si>
    <t>tall, shiny tumor, missing ear tag</t>
  </si>
  <si>
    <t>no tumor, missing ear tag</t>
  </si>
  <si>
    <t>whisker picked, deep tumor, not defined, spread out, group of bumps together</t>
  </si>
  <si>
    <t>tear drop shaped, pink tumor</t>
  </si>
  <si>
    <t>tear drop shaped, starting to get pink</t>
  </si>
  <si>
    <t>feel spine close to 2.75 but 3, low tumor, tall</t>
  </si>
  <si>
    <t>less defined tumor</t>
  </si>
  <si>
    <t>low tumor, round, skin getting pink</t>
  </si>
  <si>
    <t>changed water due to floaties and lower, squared tumor</t>
  </si>
  <si>
    <t>close to 2.75 bcs, but still a 3, softer tumor</t>
  </si>
  <si>
    <t>changed water due to floaties and lower, deeper hard to measure. Almost 2.75, but a 3</t>
  </si>
  <si>
    <t>tumor in fat, 2.75, tumor wider than it is long</t>
  </si>
  <si>
    <t>tumor moves</t>
  </si>
  <si>
    <t>replaced water due to floaties and lower, tumor further back</t>
  </si>
  <si>
    <t>replaced water due to floaties and lower, almost 2.75, but still a 3, tall and tear drop shaped tumor</t>
  </si>
  <si>
    <t>replaced water due to floaties and lower,</t>
  </si>
  <si>
    <t>replaced water due to floaties and very low, no tumor</t>
  </si>
  <si>
    <t>replaced water due to floaties and lower, no tumor</t>
  </si>
  <si>
    <t>scruffy, almost 2.75, large tumor</t>
  </si>
  <si>
    <t>ulcerated larger tumor, EUTH</t>
  </si>
  <si>
    <t>hunchy, thin, low BCS, deeper tumor, hard to measure, lethargic and hunched, euthanized</t>
  </si>
  <si>
    <t>two tumors together, getting aggitated</t>
  </si>
  <si>
    <t>bumps together, antsy and irritated</t>
  </si>
  <si>
    <t xml:space="preserve">large tall tumor, kidney shaped, </t>
  </si>
  <si>
    <t>feel a bit of spine but still a 3, squeeky, round tumor</t>
  </si>
  <si>
    <t>feel the spine but still a 3</t>
  </si>
  <si>
    <t>feel a bit of spine, low tumor</t>
  </si>
  <si>
    <t>very tall tumor turning pink, start treatment</t>
  </si>
  <si>
    <t>tall tumor, antsy, pulling, teardrop shaped</t>
  </si>
  <si>
    <t>big tumor, tumor is pink, treatment started</t>
  </si>
  <si>
    <t>antsy, slightly irritated, still a 3 but you can feel spine, big tall tumor</t>
  </si>
  <si>
    <t>defined tumor, soft textured, large tumor EUTH today</t>
  </si>
  <si>
    <t>bottom of tumor pink, squeeky, start treatment, still a 3</t>
  </si>
  <si>
    <t xml:space="preserve">wider tumor than it is long, </t>
  </si>
  <si>
    <t>tiny pink starting on tumor, start treatment</t>
  </si>
  <si>
    <t>3 but you can feel spine, shiny but starting to ulcerate</t>
  </si>
  <si>
    <t>large tumor, starting to get slightly pink</t>
  </si>
  <si>
    <t>still a3 but starting to feel spine, tall tumor, starting to get pink</t>
  </si>
  <si>
    <t>missing tag, getting pink on tumor, tall - treatment start</t>
  </si>
  <si>
    <t>missing left ear tag, no tumor</t>
  </si>
  <si>
    <t>still a 3, not defined tumor, deeper tumor</t>
  </si>
  <si>
    <t>still a 3 but almost 2.75, larger tumor, pink - treated</t>
  </si>
  <si>
    <t>squalking, no tumor</t>
  </si>
  <si>
    <t>getting red on top, treat</t>
  </si>
  <si>
    <t>feel spine close to 2.75, tumor is tall and wider than it is long</t>
  </si>
  <si>
    <t>less defined and smaller tumor</t>
  </si>
  <si>
    <t xml:space="preserve">can feel spine but still a 3, tumor slightly pink, </t>
  </si>
  <si>
    <t>can feel spine, still a 3, square tumor, extra bump growing off side</t>
  </si>
  <si>
    <t>close to 2.75, still a 3, tumor is firm, ulcerated EUTH</t>
  </si>
  <si>
    <t>deeper tumor, defined spine, lower BCS</t>
  </si>
  <si>
    <t>feel spine but 2.75, tumor in fat in hip</t>
  </si>
  <si>
    <t>feeling spine but still a3, two tumors together, wider than long</t>
  </si>
  <si>
    <t>3 but close to 2.75, smaller tumor</t>
  </si>
  <si>
    <t>larger tumor, still a 3 but almost 2.75, tumor is attached</t>
  </si>
  <si>
    <t>smaller tumor</t>
  </si>
  <si>
    <t>scruffy, almost 2.75</t>
  </si>
  <si>
    <t>distended, starting to get hunched</t>
  </si>
  <si>
    <t>close to 2.75, still a 3</t>
  </si>
  <si>
    <t>almost still a 3, but 2.75</t>
  </si>
  <si>
    <t>slighylt hunched</t>
  </si>
  <si>
    <t>Found Dead</t>
  </si>
  <si>
    <t>missing ear tag</t>
  </si>
  <si>
    <t>can feel spine but is a 3, big tumor, not red</t>
  </si>
  <si>
    <t>distended abdomen, deep tumor, hunched, lethargic EUTH - SICK</t>
  </si>
  <si>
    <t>abdomen starting to distend, BCS lower, slight pink on tumor - not treated</t>
  </si>
  <si>
    <t>very close to ulceration tear drop shape, treated</t>
  </si>
  <si>
    <t>odd shaped tumor,</t>
  </si>
  <si>
    <t>two bumps together as one, irritated, almost a 2.75</t>
  </si>
  <si>
    <t>round tumor slight pink but not treated</t>
  </si>
  <si>
    <t xml:space="preserve">close to 2.75, still a 3, </t>
  </si>
  <si>
    <t>round</t>
  </si>
  <si>
    <t xml:space="preserve">2.75 BCS, </t>
  </si>
  <si>
    <t>solid mouse, still a 3</t>
  </si>
  <si>
    <t>treated, close to ulcerating but good, tall tumor</t>
  </si>
  <si>
    <t>small spot that’s red - over 1500 mm3 - EUTH</t>
  </si>
  <si>
    <t>very close to ulcerating, treating</t>
  </si>
  <si>
    <t>part of tumor close to ulcerating - treating - OVER 1500 mm3 - EUTH</t>
  </si>
  <si>
    <t>soft tumor, round - over 1500 EUTH</t>
  </si>
  <si>
    <t>ulcerated - EUTH</t>
  </si>
  <si>
    <t>euthanized 11/4 - almost 1500 mm3</t>
  </si>
  <si>
    <t>treated, still a 3, close to ulceration,</t>
  </si>
  <si>
    <t>close to ulceration, treating</t>
  </si>
  <si>
    <t>very pink, treatment, close to ulcerating</t>
  </si>
  <si>
    <t xml:space="preserve">ulcerated - EUTH </t>
  </si>
  <si>
    <t>deep tumor, still a 3, loose from body cavity but flat</t>
  </si>
  <si>
    <t>slightly ulcerated - EUTH</t>
  </si>
  <si>
    <t>almost 2.75, large tumor</t>
  </si>
  <si>
    <t>no  tumor, slight spine but still a 3</t>
  </si>
  <si>
    <t>healthy tumor</t>
  </si>
  <si>
    <t>2.75 - boney spine, slightly pink, treatment started</t>
  </si>
  <si>
    <t>can feel spine, large tumor, EUTH</t>
  </si>
  <si>
    <t>not tall</t>
  </si>
  <si>
    <t>two bumps together, attached to body</t>
  </si>
  <si>
    <t>healthy tumor, attached to body</t>
  </si>
  <si>
    <t>closer to back, still a 3</t>
  </si>
  <si>
    <t>small tumor, round</t>
  </si>
  <si>
    <t>just ulcerating, EUTH</t>
  </si>
  <si>
    <t>healthy tumor, 2 together</t>
  </si>
  <si>
    <t>cluster of bumps together, triangle</t>
  </si>
  <si>
    <t>slightly shiney, treating</t>
  </si>
  <si>
    <t>getting shiney, treating, tall</t>
  </si>
  <si>
    <t>starting to get pink, treating</t>
  </si>
  <si>
    <t>firm, attached to body</t>
  </si>
  <si>
    <t>Squinty, hunched, low 2.25, EUTH</t>
  </si>
  <si>
    <t>close to ulceration, treated, scruffy</t>
  </si>
  <si>
    <t>close to ulceration in one spot, treating</t>
  </si>
  <si>
    <t>very tall, just ulcerating, EUTH</t>
  </si>
  <si>
    <t>Large, almost 1500mm EUTH</t>
  </si>
  <si>
    <t>treating</t>
  </si>
  <si>
    <t>over 1500mm, scruffy, EUTH</t>
  </si>
  <si>
    <t>Over 1500mm EUTH</t>
  </si>
  <si>
    <t>ONLY NOTED IF EUTH FOR THIS DAY</t>
  </si>
  <si>
    <t>Low 2.25 BCS, Euth</t>
  </si>
  <si>
    <t>Low 2.25 BCS, EUTH</t>
  </si>
  <si>
    <t>2.25, EUTH</t>
  </si>
  <si>
    <t>still healthy for 2.75</t>
  </si>
  <si>
    <t>Over 1500mm, EUTH</t>
  </si>
  <si>
    <t>on spot red, treating</t>
  </si>
  <si>
    <t>over 1500mm, EUTH</t>
  </si>
  <si>
    <t>tumor looks good, scruffy, still active</t>
  </si>
  <si>
    <t>Ulcerated, EUTH</t>
  </si>
  <si>
    <t>2.75, close to ulceration, treating</t>
  </si>
  <si>
    <t>Shiney, treating</t>
  </si>
  <si>
    <t>treating, 2.25 but still active</t>
  </si>
  <si>
    <t>no tumor, irritated</t>
  </si>
  <si>
    <t>almost 2.25, different scale today</t>
  </si>
  <si>
    <t>2.25, hunched EUTH</t>
  </si>
  <si>
    <t>2.5, Large tumor over 1500mm, EUTH</t>
  </si>
  <si>
    <t>Over 1500mm, low BCS, EUTH</t>
  </si>
  <si>
    <t>BCS 2, very hunched, EUTH</t>
  </si>
  <si>
    <t>tumor looks better, not treated</t>
  </si>
  <si>
    <t>BCS 2 and ulcerated, EUTH</t>
  </si>
  <si>
    <t>healthy tumor and mouse, close to 1500mm</t>
  </si>
  <si>
    <t>no tumor, water wicked out, replaced wet shavings and water.</t>
  </si>
  <si>
    <t>tumor looks healthy</t>
  </si>
  <si>
    <t>healthy mouse and tumor</t>
  </si>
  <si>
    <t>tumor in 2 parts</t>
  </si>
  <si>
    <t>no tumor, EUTH</t>
  </si>
  <si>
    <t>Large tumor, Euth End of study</t>
  </si>
  <si>
    <t>Tumor over 1500mm, End of Study EUTH</t>
  </si>
  <si>
    <t>19 and 21 mixed up</t>
  </si>
  <si>
    <t>TAKEDOWN NOTES</t>
  </si>
  <si>
    <t>Date</t>
  </si>
  <si>
    <t>11/9/1015</t>
  </si>
  <si>
    <t>Reason</t>
  </si>
  <si>
    <t>Low 2.25 BCS</t>
  </si>
  <si>
    <t>Ulcerated tumor</t>
  </si>
  <si>
    <t>sick, low BCS</t>
  </si>
  <si>
    <t>Sick, low BCS</t>
  </si>
  <si>
    <t>Low BCS, lethargic</t>
  </si>
  <si>
    <t>Ulcerated</t>
  </si>
  <si>
    <t>Low BCS</t>
  </si>
  <si>
    <t>Over 1500mm</t>
  </si>
  <si>
    <t>Over 1500mm and Low BCS</t>
  </si>
  <si>
    <t>Low BCS, 2</t>
  </si>
  <si>
    <t>over 1500 mm3</t>
  </si>
  <si>
    <t>Hurt Leg</t>
  </si>
  <si>
    <t>ulcerated</t>
  </si>
  <si>
    <t>Tumor over 1200mm</t>
  </si>
  <si>
    <t>ulcerated tumor</t>
  </si>
  <si>
    <t>End of study</t>
  </si>
  <si>
    <t>0ver 1500mm</t>
  </si>
  <si>
    <t>Just under 1500mm</t>
  </si>
  <si>
    <t>End of study, tumor near 1500mm</t>
  </si>
  <si>
    <t>Low BCS, 2, and ulcerated</t>
  </si>
  <si>
    <t>Found dead</t>
  </si>
  <si>
    <t>Over 1500mm and End of Study</t>
  </si>
  <si>
    <t>Hurt leg</t>
  </si>
  <si>
    <t>Hunched, low BCS, very think dark blood. Tumor attached to skin, back part attached to body cavity, did not grow inside. Blood vessels in tumor. Part of intestines yellowish. Normal inside otherwise.</t>
  </si>
  <si>
    <t>large tumor, ulcerated.  Slightly attached to body cavity. All internal organs look normal.  No metastasis</t>
  </si>
  <si>
    <t xml:space="preserve">sick, hunched, low BCS, low movement, body cavity full of blood, tumor completely inside body cavity but on the body cavity wall, small tumors all throughout body cavity and attached to kidney </t>
  </si>
  <si>
    <t>Hunched, low 2.25 BCS. Tumor attached to skin, not body cavity. Orange in spots. Slightly enlarged spleen, othewise normal organs.</t>
  </si>
  <si>
    <t>BCS of 2 - euthanized - hunched, lethargic, barely moving, boney, cooler to touch. Blood in body cavity. Full organs in NBF lots of metastasis</t>
  </si>
  <si>
    <t>Tumor just ulcerated. Tumor attached to skin, not to body,</t>
  </si>
  <si>
    <t>Low BCS, tumor attached to skin and entering body cavity near spine. Slightly enlarged spleen, pale right kidney.</t>
  </si>
  <si>
    <t>Tumor attached to skin and body cavity, not into cavity. Slightly enlarged spleen, other organs normal.</t>
  </si>
  <si>
    <t>Large tumor, sunken stomach. Tumor attached to body cavity and skin in spots, bloody tumor, not inside body cavity. Enlarged spleen, normal otherwise</t>
  </si>
  <si>
    <t>Soft tumor, stuck to skin, not body cavity. Slightly enlarged spleen, slightly yello intestines, normal otherwise.</t>
  </si>
  <si>
    <t>Tumor attached to skin, not body cavity. Normal inside</t>
  </si>
  <si>
    <t>Over 1500mm tumor. Hard to get blood, blood in body cavity. Tumor went internal and attached to kidney. Kidney with tumor in NBF. Slightly enlarged spleen.</t>
  </si>
  <si>
    <t>Blood in body cavity, attached to skin and body cavity wall. Pyloris patch in body, in NBF</t>
  </si>
  <si>
    <t>Very hunched and lethargic, BCS 2. Tumor close to ulcerating, but had not. Attached to skin, not body cavity, part of tumor yellowish orange. Slightly enlarged spleen, otherwise normal inside.</t>
  </si>
  <si>
    <t>very large tumor, very attached to skin, lots of fat inside mouse, no signs of metastasis</t>
  </si>
  <si>
    <t>Low 2.25 BCS, pale feet. Tumor attached to skin, not body cavity. Very soft tumor, comes apart more easily. Enlarged spleen and very pale kidneys, normal organs otherwise</t>
  </si>
  <si>
    <t>large tumor, close to ulceration, loosely attached to body cavity, very stuck to skin but not ulcerated, no metastasis into body cavity</t>
  </si>
  <si>
    <t>very large tumor, stuck to the skin and the body cavity, did not go into body cavity, no metastasis</t>
  </si>
  <si>
    <t>\not attached to body cavity, fully ulcerated, attached to skin, no metastasis</t>
  </si>
  <si>
    <t>over 1500 mm3 - not ulcerated.  Close to skin.  Not in body cavity.  Attached to thigh.  All internal organs look normal</t>
  </si>
  <si>
    <t>Low 2.25 BCS, hunched. Body tumor, attached to skin, not body cavity, a lot of angiogenesis. Some blood in body cavity, enlarged spleen, slightly pale kidneys.</t>
  </si>
  <si>
    <t>starting to ulcerate. Very red tumor. Not attached to body cavity. Attached to skin. All internal organs are normal</t>
  </si>
  <si>
    <t>Tumor raw and started to ulcerate. Attached to skin, slightly attached to body cavity, bloody soft, not very solid tumor. Intestines slightly yellow, enlarged spleen, normal otherwise</t>
  </si>
  <si>
    <t>Tumor is barely ulcerated. Attached to skin, not body cavity, slightly enlarged spleen, normal otherwise</t>
  </si>
  <si>
    <t>tumor is ulcerated, attached firmly to the skin, barely attached to the body cavity, soft tumor, no strongly attached together, falls apart easy, no metastasis</t>
  </si>
  <si>
    <t>No Tumor</t>
  </si>
  <si>
    <t>White spot on tumor, stuck to skin and into body cavity, large blood vessels in tumor. Normal inside</t>
  </si>
  <si>
    <t>ulceratred, attached to this skin, not attached to body cavity, no metastasis</t>
  </si>
  <si>
    <t>ulcerated, not attached to body cavity, attached to the skin, no metastasis, very fat mouse</t>
  </si>
  <si>
    <t>Loosely attached to skin and small spot into body cavity. Enlarged spleen, normal otherwise</t>
  </si>
  <si>
    <t>Attached to skin, many blood vessels, not attached to the body cavity. Slightly enlarged spleen, normal otherwise.</t>
  </si>
  <si>
    <t>Hunched, BCS 2, ulcerated. White and yellowish orange spots on tumor, attached to skin, not body cavity. Slightly enlarged spleen, normal otherwise</t>
  </si>
  <si>
    <t xml:space="preserve">large tumor, over 1500 mm3, small amount of blood in the body cavity, tumor attached to body cavity and some of tumor attached to skin, some primary into body cavity, no metastasis </t>
  </si>
  <si>
    <t>ulcerated tumor - tumor is very small  goes into the body cavity.  All inside cavity is primary tumor - no visible metastasis</t>
  </si>
  <si>
    <t>Tumor is part way into the body cavity. Blood in body cavity.</t>
  </si>
  <si>
    <t>Large tumor, attached to skin and slightly to body cavity, and going slightly in towards spine. Pale kidney, slightly enlarged spleen.</t>
  </si>
  <si>
    <t>Large tumor, scruffy. Tumor slightly attached to skin and body cavity, penetrated in body cavity towards the back. Spleen slightly enlarged, normal otherwise</t>
  </si>
  <si>
    <t>2 tumors together with many blood vessels. Attached to skin and grew into the body cavity some. Slightly enlarged spleen, normal otherwise.</t>
  </si>
  <si>
    <t>Attached to skin and body cavity, not ulcerated. Orange on part of tumor. Tumor goes into body cavity, attached slightly to kidney in fatty area, around intestines as well. Other organs look normal.</t>
  </si>
  <si>
    <t>2 tumors together. Attached to skin and body cavity, slightly penetrating the cavity. Slightly enlarged spleen, normal otherwise.</t>
  </si>
  <si>
    <t>Tumor Weight</t>
  </si>
  <si>
    <t>1280 mg</t>
  </si>
  <si>
    <t>650 mg</t>
  </si>
  <si>
    <t>350 mg</t>
  </si>
  <si>
    <t>720 mg</t>
  </si>
  <si>
    <t>210 mg</t>
  </si>
  <si>
    <t>640 mg</t>
  </si>
  <si>
    <t>1370 mg</t>
  </si>
  <si>
    <t>1470 mg</t>
  </si>
  <si>
    <t>1530 mg</t>
  </si>
  <si>
    <t>1570 mg</t>
  </si>
  <si>
    <t>1110 mg</t>
  </si>
  <si>
    <t>2230 mg</t>
  </si>
  <si>
    <t>1050 mg</t>
  </si>
  <si>
    <t>1040 mg</t>
  </si>
  <si>
    <t>600 mg</t>
  </si>
  <si>
    <t>2340 mg</t>
  </si>
  <si>
    <t>760 mg</t>
  </si>
  <si>
    <t>980 mg</t>
  </si>
  <si>
    <t>780 mg</t>
  </si>
  <si>
    <t>1020 mg</t>
  </si>
  <si>
    <t>990 mg</t>
  </si>
  <si>
    <t>1010 mg</t>
  </si>
  <si>
    <t>880 mg</t>
  </si>
  <si>
    <t>1740 mg</t>
  </si>
  <si>
    <t>1400 mg</t>
  </si>
  <si>
    <t>1730 mg</t>
  </si>
  <si>
    <t>400 mg</t>
  </si>
  <si>
    <t>266 mg</t>
  </si>
  <si>
    <t>1600 mg</t>
  </si>
  <si>
    <t>1460 mg</t>
  </si>
  <si>
    <t>1640 mg</t>
  </si>
  <si>
    <t>1940 mg</t>
  </si>
  <si>
    <t>1800 mg</t>
  </si>
  <si>
    <t>Metastisis Weight</t>
  </si>
  <si>
    <t>930 mg</t>
  </si>
  <si>
    <t>520 mg</t>
  </si>
  <si>
    <t>430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</si>
</sst>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sz val="11"/>
      <color rgb="FFFF0000"/>
      <name val="Calibri"/>
      <family val="2"/>
      <scheme val="minor"/>
    </font>
    <font>
      <sz val="11"/>
      <name val="Calibri"/>
      <family val="2"/>
      <scheme val="minor"/>
    </font>
    <font>
      <sz val="11"/>
      <name val="Calibri"/>
      <family val="2"/>
    </font>
    <font>
      <b/>
      <sz val="11"/>
      <name val="Calibri"/>
      <family val="2"/>
      <scheme val="minor"/>
    </font>
  </fonts>
  <fills count="7">
    <fill>
      <patternFill patternType="none"/>
    </fill>
    <fill>
      <patternFill patternType="gray125"/>
    </fill>
    <fill>
      <patternFill patternType="solid">
        <fgColor theme="2"/>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54">
    <xf numFmtId="0" fontId="0" fillId="0" borderId="0" xfId="0"/>
    <xf numFmtId="0" fontId="2" fillId="0" borderId="1" xfId="0" applyFont="1" applyBorder="1" applyAlignment="1">
      <alignment horizontal="center" vertical="center"/>
    </xf>
    <xf numFmtId="0" fontId="2" fillId="0" borderId="0" xfId="0" applyFont="1" applyAlignment="1">
      <alignment horizontal="center" vertic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14" fontId="2" fillId="2" borderId="5" xfId="0" applyNumberFormat="1" applyFont="1" applyFill="1" applyBorder="1" applyAlignment="1">
      <alignment horizontal="center" vertical="center"/>
    </xf>
    <xf numFmtId="14" fontId="2" fillId="2" borderId="1" xfId="0" applyNumberFormat="1" applyFont="1" applyFill="1" applyBorder="1" applyAlignment="1">
      <alignment horizontal="center" vertical="center"/>
    </xf>
    <xf numFmtId="14" fontId="2" fillId="2" borderId="6" xfId="0" applyNumberFormat="1" applyFont="1" applyFill="1" applyBorder="1" applyAlignment="1">
      <alignment horizontal="center" vertical="center"/>
    </xf>
    <xf numFmtId="14" fontId="2" fillId="0" borderId="5"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2" fillId="0" borderId="6" xfId="0" applyNumberFormat="1" applyFont="1" applyBorder="1" applyAlignment="1">
      <alignment horizontal="center" vertical="center"/>
    </xf>
    <xf numFmtId="164" fontId="2" fillId="2" borderId="5"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0" borderId="5"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6" xfId="0" applyNumberFormat="1" applyFont="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4" fillId="0" borderId="7" xfId="0" applyFont="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14" fontId="4" fillId="0" borderId="8" xfId="0" applyNumberFormat="1" applyFont="1" applyBorder="1" applyAlignment="1">
      <alignment horizontal="center" vertical="center"/>
    </xf>
    <xf numFmtId="164" fontId="2" fillId="3" borderId="5"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164" fontId="2" fillId="3" borderId="6" xfId="0" applyNumberFormat="1" applyFont="1" applyFill="1" applyBorder="1" applyAlignment="1">
      <alignment horizontal="center" vertical="center"/>
    </xf>
    <xf numFmtId="164" fontId="2" fillId="4" borderId="5" xfId="0" applyNumberFormat="1" applyFont="1" applyFill="1" applyBorder="1" applyAlignment="1">
      <alignment horizontal="center" vertical="center"/>
    </xf>
    <xf numFmtId="164" fontId="2" fillId="4" borderId="1" xfId="0" applyNumberFormat="1" applyFont="1" applyFill="1" applyBorder="1" applyAlignment="1">
      <alignment horizontal="center" vertical="center"/>
    </xf>
    <xf numFmtId="164" fontId="2" fillId="4" borderId="6" xfId="0" applyNumberFormat="1" applyFont="1" applyFill="1" applyBorder="1" applyAlignment="1">
      <alignment horizontal="center" vertical="center"/>
    </xf>
    <xf numFmtId="164" fontId="2" fillId="5" borderId="5" xfId="0" applyNumberFormat="1" applyFont="1" applyFill="1" applyBorder="1" applyAlignment="1">
      <alignment horizontal="center" vertical="center"/>
    </xf>
    <xf numFmtId="164" fontId="2" fillId="5" borderId="6" xfId="0" applyNumberFormat="1" applyFont="1" applyFill="1" applyBorder="1" applyAlignment="1">
      <alignment horizontal="center" vertical="center"/>
    </xf>
    <xf numFmtId="164" fontId="2" fillId="0" borderId="0" xfId="0" applyNumberFormat="1" applyFont="1" applyAlignment="1">
      <alignment horizontal="center" vertical="center"/>
    </xf>
    <xf numFmtId="0" fontId="4" fillId="0" borderId="8"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wrapText="1"/>
    </xf>
    <xf numFmtId="14" fontId="4" fillId="0" borderId="8" xfId="0" applyNumberFormat="1" applyFont="1" applyBorder="1" applyAlignment="1">
      <alignment horizontal="center" vertical="center" wrapText="1"/>
    </xf>
    <xf numFmtId="1" fontId="2" fillId="0" borderId="0" xfId="0" applyNumberFormat="1" applyFont="1" applyAlignment="1">
      <alignment horizontal="center" vertical="center"/>
    </xf>
    <xf numFmtId="1" fontId="4" fillId="0" borderId="0" xfId="0" applyNumberFormat="1" applyFont="1" applyAlignment="1">
      <alignment horizontal="center" vertical="center"/>
    </xf>
    <xf numFmtId="14" fontId="2" fillId="0" borderId="0" xfId="0" applyNumberFormat="1" applyFont="1" applyAlignment="1">
      <alignment horizontal="center" vertical="center"/>
    </xf>
    <xf numFmtId="14" fontId="4" fillId="6" borderId="8" xfId="0" applyNumberFormat="1" applyFont="1" applyFill="1" applyBorder="1" applyAlignment="1">
      <alignment horizontal="center" vertical="center"/>
    </xf>
  </cellXfs>
  <cellStyles count="1">
    <cellStyle name="Normal" xfId="0" builtinId="0"/>
  </cellStyles>
  <dxfs count="7">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N/A</v>
    <v>2</v>
    <v>4</v>
    <v>5</v>
  </rv>
  <rv s="0">
    <v>23.6, FD</v>
    <v>2</v>
    <v>4</v>
    <v>5</v>
  </rv>
</rvData>
</file>

<file path=xl/richData/rdrichvaluestructure.xml><?xml version="1.0" encoding="utf-8"?>
<rvStructures xmlns="http://schemas.microsoft.com/office/spreadsheetml/2017/richdata" count="1">
  <s t="_error">
    <k n="argument" t="s"/>
    <k n="errorType" t="i"/>
    <k n="ptg"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5C8C-B96A-4E61-B142-DCCD5E572E52}">
  <dimension ref="A1:BG35"/>
  <sheetViews>
    <sheetView tabSelected="1" zoomScaleNormal="100" workbookViewId="0">
      <pane ySplit="4" topLeftCell="A5" activePane="bottomLeft" state="frozen"/>
      <selection pane="bottomLeft" activeCell="B11" sqref="B11"/>
    </sheetView>
  </sheetViews>
  <sheetFormatPr defaultColWidth="16.7109375" defaultRowHeight="15"/>
  <cols>
    <col min="1" max="1" width="16.7109375" style="29"/>
    <col min="2" max="16384" width="16.7109375" style="2"/>
  </cols>
  <sheetData>
    <row r="1" spans="1:59" s="29" customFormat="1">
      <c r="A1" s="22" t="s">
        <v>0</v>
      </c>
      <c r="B1" s="23" t="s">
        <v>1</v>
      </c>
      <c r="C1" s="24" t="s">
        <v>2</v>
      </c>
      <c r="D1" s="25" t="s">
        <v>3</v>
      </c>
      <c r="E1" s="26" t="s">
        <v>4</v>
      </c>
      <c r="F1" s="27" t="s">
        <v>5</v>
      </c>
      <c r="G1" s="28" t="s">
        <v>6</v>
      </c>
      <c r="H1" s="23" t="s">
        <v>7</v>
      </c>
      <c r="I1" s="24" t="s">
        <v>8</v>
      </c>
      <c r="J1" s="25" t="s">
        <v>9</v>
      </c>
      <c r="K1" s="26" t="s">
        <v>10</v>
      </c>
      <c r="L1" s="27" t="s">
        <v>11</v>
      </c>
      <c r="M1" s="28" t="s">
        <v>12</v>
      </c>
      <c r="N1" s="23" t="s">
        <v>13</v>
      </c>
      <c r="O1" s="24" t="s">
        <v>14</v>
      </c>
      <c r="P1" s="25" t="s">
        <v>15</v>
      </c>
      <c r="Q1" s="26" t="s">
        <v>16</v>
      </c>
      <c r="R1" s="27" t="s">
        <v>17</v>
      </c>
      <c r="S1" s="28" t="s">
        <v>18</v>
      </c>
      <c r="T1" s="23" t="s">
        <v>19</v>
      </c>
      <c r="U1" s="24" t="s">
        <v>20</v>
      </c>
      <c r="V1" s="25" t="s">
        <v>21</v>
      </c>
      <c r="W1" s="26" t="s">
        <v>22</v>
      </c>
      <c r="X1" s="27" t="s">
        <v>23</v>
      </c>
      <c r="Y1" s="28" t="s">
        <v>24</v>
      </c>
      <c r="Z1" s="23" t="s">
        <v>25</v>
      </c>
      <c r="AA1" s="24" t="s">
        <v>26</v>
      </c>
      <c r="AB1" s="25" t="s">
        <v>27</v>
      </c>
      <c r="AC1" s="26" t="s">
        <v>28</v>
      </c>
      <c r="AD1" s="27" t="s">
        <v>29</v>
      </c>
      <c r="AE1" s="28" t="s">
        <v>30</v>
      </c>
      <c r="AF1" s="23" t="s">
        <v>31</v>
      </c>
      <c r="AG1" s="24" t="s">
        <v>32</v>
      </c>
      <c r="AH1" s="25" t="s">
        <v>33</v>
      </c>
      <c r="AI1" s="26" t="s">
        <v>34</v>
      </c>
      <c r="AJ1" s="27" t="s">
        <v>35</v>
      </c>
      <c r="AK1" s="28" t="s">
        <v>36</v>
      </c>
      <c r="AL1" s="23" t="s">
        <v>37</v>
      </c>
      <c r="AM1" s="25" t="s">
        <v>38</v>
      </c>
      <c r="AN1" s="26" t="s">
        <v>39</v>
      </c>
      <c r="AO1" s="28" t="s">
        <v>40</v>
      </c>
      <c r="AP1" s="23" t="s">
        <v>41</v>
      </c>
      <c r="AQ1" s="24" t="s">
        <v>42</v>
      </c>
      <c r="AR1" s="25" t="s">
        <v>43</v>
      </c>
      <c r="AS1" s="26" t="s">
        <v>44</v>
      </c>
      <c r="AT1" s="27" t="s">
        <v>45</v>
      </c>
      <c r="AU1" s="28" t="s">
        <v>46</v>
      </c>
      <c r="AV1" s="23" t="s">
        <v>47</v>
      </c>
      <c r="AW1" s="24" t="s">
        <v>48</v>
      </c>
      <c r="AX1" s="25" t="s">
        <v>49</v>
      </c>
      <c r="AY1" s="26" t="s">
        <v>50</v>
      </c>
      <c r="AZ1" s="27" t="s">
        <v>51</v>
      </c>
      <c r="BA1" s="28" t="s">
        <v>52</v>
      </c>
      <c r="BB1" s="23" t="s">
        <v>53</v>
      </c>
      <c r="BC1" s="24" t="s">
        <v>54</v>
      </c>
      <c r="BD1" s="25" t="s">
        <v>55</v>
      </c>
      <c r="BE1" s="26" t="s">
        <v>56</v>
      </c>
      <c r="BF1" s="27" t="s">
        <v>57</v>
      </c>
      <c r="BG1" s="28" t="s">
        <v>58</v>
      </c>
    </row>
    <row r="2" spans="1:59" hidden="1">
      <c r="A2" s="30" t="s">
        <v>59</v>
      </c>
      <c r="B2" s="3" t="s">
        <v>60</v>
      </c>
      <c r="C2" s="4" t="s">
        <v>60</v>
      </c>
      <c r="D2" s="5" t="s">
        <v>60</v>
      </c>
      <c r="E2" s="6" t="s">
        <v>60</v>
      </c>
      <c r="F2" s="1" t="s">
        <v>60</v>
      </c>
      <c r="G2" s="7" t="s">
        <v>60</v>
      </c>
      <c r="H2" s="3" t="s">
        <v>60</v>
      </c>
      <c r="I2" s="4" t="s">
        <v>60</v>
      </c>
      <c r="J2" s="5" t="s">
        <v>60</v>
      </c>
      <c r="K2" s="6" t="s">
        <v>60</v>
      </c>
      <c r="L2" s="1" t="s">
        <v>60</v>
      </c>
      <c r="M2" s="7" t="s">
        <v>60</v>
      </c>
      <c r="N2" s="3" t="s">
        <v>60</v>
      </c>
      <c r="O2" s="4" t="s">
        <v>60</v>
      </c>
      <c r="P2" s="5" t="s">
        <v>60</v>
      </c>
      <c r="Q2" s="6" t="s">
        <v>60</v>
      </c>
      <c r="R2" s="1" t="s">
        <v>60</v>
      </c>
      <c r="S2" s="7" t="s">
        <v>60</v>
      </c>
      <c r="T2" s="3" t="s">
        <v>60</v>
      </c>
      <c r="U2" s="4" t="s">
        <v>60</v>
      </c>
      <c r="V2" s="5" t="s">
        <v>60</v>
      </c>
      <c r="W2" s="6" t="s">
        <v>60</v>
      </c>
      <c r="X2" s="1" t="s">
        <v>60</v>
      </c>
      <c r="Y2" s="7" t="s">
        <v>60</v>
      </c>
      <c r="Z2" s="3" t="s">
        <v>60</v>
      </c>
      <c r="AA2" s="4" t="s">
        <v>60</v>
      </c>
      <c r="AB2" s="5" t="s">
        <v>60</v>
      </c>
      <c r="AC2" s="6" t="s">
        <v>60</v>
      </c>
      <c r="AD2" s="1" t="s">
        <v>60</v>
      </c>
      <c r="AE2" s="7" t="s">
        <v>60</v>
      </c>
      <c r="AF2" s="3" t="s">
        <v>60</v>
      </c>
      <c r="AG2" s="4" t="s">
        <v>60</v>
      </c>
      <c r="AH2" s="5" t="s">
        <v>60</v>
      </c>
      <c r="AI2" s="6" t="s">
        <v>60</v>
      </c>
      <c r="AJ2" s="1" t="s">
        <v>60</v>
      </c>
      <c r="AK2" s="7" t="s">
        <v>60</v>
      </c>
      <c r="AL2" s="3" t="s">
        <v>60</v>
      </c>
      <c r="AM2" s="5" t="s">
        <v>60</v>
      </c>
      <c r="AN2" s="6" t="s">
        <v>60</v>
      </c>
      <c r="AO2" s="7" t="s">
        <v>60</v>
      </c>
      <c r="AP2" s="3" t="s">
        <v>60</v>
      </c>
      <c r="AQ2" s="4" t="s">
        <v>60</v>
      </c>
      <c r="AR2" s="5" t="s">
        <v>60</v>
      </c>
      <c r="AS2" s="6" t="s">
        <v>60</v>
      </c>
      <c r="AT2" s="1" t="s">
        <v>60</v>
      </c>
      <c r="AU2" s="7" t="s">
        <v>60</v>
      </c>
      <c r="AV2" s="3" t="s">
        <v>60</v>
      </c>
      <c r="AW2" s="4" t="s">
        <v>60</v>
      </c>
      <c r="AX2" s="5" t="s">
        <v>60</v>
      </c>
      <c r="AY2" s="6" t="s">
        <v>60</v>
      </c>
      <c r="AZ2" s="1" t="s">
        <v>60</v>
      </c>
      <c r="BA2" s="7" t="s">
        <v>60</v>
      </c>
      <c r="BB2" s="3" t="s">
        <v>60</v>
      </c>
      <c r="BC2" s="4" t="s">
        <v>60</v>
      </c>
      <c r="BD2" s="5" t="s">
        <v>60</v>
      </c>
      <c r="BE2" s="6" t="s">
        <v>60</v>
      </c>
      <c r="BF2" s="1" t="s">
        <v>60</v>
      </c>
      <c r="BG2" s="7" t="s">
        <v>60</v>
      </c>
    </row>
    <row r="3" spans="1:59" hidden="1">
      <c r="A3" s="30" t="s">
        <v>61</v>
      </c>
      <c r="B3" s="8">
        <v>45888</v>
      </c>
      <c r="C3" s="9">
        <v>45888</v>
      </c>
      <c r="D3" s="10">
        <v>45888</v>
      </c>
      <c r="E3" s="11">
        <v>45889</v>
      </c>
      <c r="F3" s="12">
        <v>45889</v>
      </c>
      <c r="G3" s="13">
        <v>45889</v>
      </c>
      <c r="H3" s="8">
        <v>45889</v>
      </c>
      <c r="I3" s="9">
        <v>45889</v>
      </c>
      <c r="J3" s="10">
        <v>45889</v>
      </c>
      <c r="K3" s="11">
        <v>45889</v>
      </c>
      <c r="L3" s="12">
        <v>45889</v>
      </c>
      <c r="M3" s="13">
        <v>45889</v>
      </c>
      <c r="N3" s="8">
        <v>45889</v>
      </c>
      <c r="O3" s="9">
        <v>45889</v>
      </c>
      <c r="P3" s="10">
        <v>45889</v>
      </c>
      <c r="Q3" s="11">
        <v>45889</v>
      </c>
      <c r="R3" s="12">
        <v>45889</v>
      </c>
      <c r="S3" s="13">
        <v>45889</v>
      </c>
      <c r="T3" s="8">
        <v>45888</v>
      </c>
      <c r="U3" s="9">
        <v>45889</v>
      </c>
      <c r="V3" s="10">
        <v>45889</v>
      </c>
      <c r="W3" s="11">
        <v>45889</v>
      </c>
      <c r="X3" s="12">
        <v>45889</v>
      </c>
      <c r="Y3" s="13">
        <v>45889</v>
      </c>
      <c r="Z3" s="8">
        <v>45889</v>
      </c>
      <c r="AA3" s="9">
        <v>45889</v>
      </c>
      <c r="AB3" s="10">
        <v>45889</v>
      </c>
      <c r="AC3" s="11">
        <v>45891</v>
      </c>
      <c r="AD3" s="12">
        <v>45891</v>
      </c>
      <c r="AE3" s="13">
        <v>45891</v>
      </c>
      <c r="AF3" s="8">
        <v>45889</v>
      </c>
      <c r="AG3" s="9">
        <v>45889</v>
      </c>
      <c r="AH3" s="10">
        <v>45889</v>
      </c>
      <c r="AI3" s="11">
        <v>45889</v>
      </c>
      <c r="AJ3" s="12">
        <v>45889</v>
      </c>
      <c r="AK3" s="13">
        <v>45889</v>
      </c>
      <c r="AL3" s="8">
        <v>45892</v>
      </c>
      <c r="AM3" s="10">
        <v>45892</v>
      </c>
      <c r="AN3" s="11">
        <v>45888</v>
      </c>
      <c r="AO3" s="13">
        <v>45888</v>
      </c>
      <c r="AP3" s="8">
        <v>45891</v>
      </c>
      <c r="AQ3" s="9">
        <v>45891</v>
      </c>
      <c r="AR3" s="10">
        <v>45891</v>
      </c>
      <c r="AS3" s="11">
        <v>45889</v>
      </c>
      <c r="AT3" s="12">
        <v>45889</v>
      </c>
      <c r="AU3" s="13">
        <v>45889</v>
      </c>
      <c r="AV3" s="8">
        <v>45889</v>
      </c>
      <c r="AW3" s="9">
        <v>45889</v>
      </c>
      <c r="AX3" s="10">
        <v>45889</v>
      </c>
      <c r="AY3" s="11">
        <v>45889</v>
      </c>
      <c r="AZ3" s="12">
        <v>45889</v>
      </c>
      <c r="BA3" s="13">
        <v>45889</v>
      </c>
      <c r="BB3" s="8">
        <v>45888</v>
      </c>
      <c r="BC3" s="9">
        <v>45888</v>
      </c>
      <c r="BD3" s="10">
        <v>45888</v>
      </c>
      <c r="BE3" s="11">
        <v>45889</v>
      </c>
      <c r="BF3" s="12">
        <v>45889</v>
      </c>
      <c r="BG3" s="13">
        <v>45889</v>
      </c>
    </row>
    <row r="4" spans="1:59" hidden="1">
      <c r="A4" s="30" t="s">
        <v>62</v>
      </c>
      <c r="B4" s="3" t="s">
        <v>63</v>
      </c>
      <c r="C4" s="4" t="s">
        <v>63</v>
      </c>
      <c r="D4" s="5" t="s">
        <v>63</v>
      </c>
      <c r="E4" s="6" t="s">
        <v>63</v>
      </c>
      <c r="F4" s="1" t="s">
        <v>63</v>
      </c>
      <c r="G4" s="7" t="s">
        <v>63</v>
      </c>
      <c r="H4" s="3" t="s">
        <v>63</v>
      </c>
      <c r="I4" s="4" t="s">
        <v>63</v>
      </c>
      <c r="J4" s="5" t="s">
        <v>63</v>
      </c>
      <c r="K4" s="6" t="s">
        <v>63</v>
      </c>
      <c r="L4" s="1" t="s">
        <v>63</v>
      </c>
      <c r="M4" s="7" t="s">
        <v>63</v>
      </c>
      <c r="N4" s="3" t="s">
        <v>63</v>
      </c>
      <c r="O4" s="4" t="s">
        <v>63</v>
      </c>
      <c r="P4" s="5" t="s">
        <v>63</v>
      </c>
      <c r="Q4" s="6" t="s">
        <v>63</v>
      </c>
      <c r="R4" s="1" t="s">
        <v>63</v>
      </c>
      <c r="S4" s="7" t="s">
        <v>63</v>
      </c>
      <c r="T4" s="3" t="s">
        <v>63</v>
      </c>
      <c r="U4" s="4" t="s">
        <v>63</v>
      </c>
      <c r="V4" s="5" t="s">
        <v>63</v>
      </c>
      <c r="W4" s="6" t="s">
        <v>63</v>
      </c>
      <c r="X4" s="1" t="s">
        <v>63</v>
      </c>
      <c r="Y4" s="7" t="s">
        <v>63</v>
      </c>
      <c r="Z4" s="3" t="s">
        <v>63</v>
      </c>
      <c r="AA4" s="4" t="s">
        <v>63</v>
      </c>
      <c r="AB4" s="5" t="s">
        <v>63</v>
      </c>
      <c r="AC4" s="6" t="s">
        <v>63</v>
      </c>
      <c r="AD4" s="1" t="s">
        <v>63</v>
      </c>
      <c r="AE4" s="7" t="s">
        <v>63</v>
      </c>
      <c r="AF4" s="3" t="s">
        <v>63</v>
      </c>
      <c r="AG4" s="4" t="s">
        <v>63</v>
      </c>
      <c r="AH4" s="5" t="s">
        <v>63</v>
      </c>
      <c r="AI4" s="6" t="s">
        <v>63</v>
      </c>
      <c r="AJ4" s="1" t="s">
        <v>63</v>
      </c>
      <c r="AK4" s="7" t="s">
        <v>63</v>
      </c>
      <c r="AL4" s="3" t="s">
        <v>63</v>
      </c>
      <c r="AM4" s="5" t="s">
        <v>63</v>
      </c>
      <c r="AN4" s="6" t="s">
        <v>63</v>
      </c>
      <c r="AO4" s="7" t="s">
        <v>63</v>
      </c>
      <c r="AP4" s="3" t="s">
        <v>63</v>
      </c>
      <c r="AQ4" s="4" t="s">
        <v>63</v>
      </c>
      <c r="AR4" s="5" t="s">
        <v>63</v>
      </c>
      <c r="AS4" s="6" t="s">
        <v>63</v>
      </c>
      <c r="AT4" s="1" t="s">
        <v>63</v>
      </c>
      <c r="AU4" s="7" t="s">
        <v>63</v>
      </c>
      <c r="AV4" s="3" t="s">
        <v>63</v>
      </c>
      <c r="AW4" s="4" t="s">
        <v>63</v>
      </c>
      <c r="AX4" s="5" t="s">
        <v>63</v>
      </c>
      <c r="AY4" s="6" t="s">
        <v>63</v>
      </c>
      <c r="AZ4" s="1" t="s">
        <v>63</v>
      </c>
      <c r="BA4" s="7" t="s">
        <v>63</v>
      </c>
      <c r="BB4" s="3" t="s">
        <v>63</v>
      </c>
      <c r="BC4" s="4" t="s">
        <v>63</v>
      </c>
      <c r="BD4" s="5" t="s">
        <v>63</v>
      </c>
      <c r="BE4" s="6" t="s">
        <v>63</v>
      </c>
      <c r="BF4" s="1" t="s">
        <v>63</v>
      </c>
      <c r="BG4" s="7" t="s">
        <v>63</v>
      </c>
    </row>
    <row r="5" spans="1:59">
      <c r="A5" s="30" t="s">
        <v>64</v>
      </c>
      <c r="B5" s="3" t="s">
        <v>65</v>
      </c>
      <c r="C5" s="4" t="s">
        <v>65</v>
      </c>
      <c r="D5" s="5" t="s">
        <v>65</v>
      </c>
      <c r="E5" s="6" t="s">
        <v>66</v>
      </c>
      <c r="F5" s="1" t="s">
        <v>66</v>
      </c>
      <c r="G5" s="7" t="s">
        <v>66</v>
      </c>
      <c r="H5" s="3" t="s">
        <v>67</v>
      </c>
      <c r="I5" s="4" t="s">
        <v>67</v>
      </c>
      <c r="J5" s="5" t="s">
        <v>67</v>
      </c>
      <c r="K5" s="6" t="s">
        <v>68</v>
      </c>
      <c r="L5" s="1" t="s">
        <v>68</v>
      </c>
      <c r="M5" s="7" t="s">
        <v>68</v>
      </c>
      <c r="N5" s="3" t="s">
        <v>69</v>
      </c>
      <c r="O5" s="4" t="s">
        <v>69</v>
      </c>
      <c r="P5" s="5" t="s">
        <v>69</v>
      </c>
      <c r="Q5" s="6" t="s">
        <v>70</v>
      </c>
      <c r="R5" s="1" t="s">
        <v>70</v>
      </c>
      <c r="S5" s="7" t="s">
        <v>70</v>
      </c>
      <c r="T5" s="3" t="s">
        <v>67</v>
      </c>
      <c r="U5" s="4" t="s">
        <v>68</v>
      </c>
      <c r="V5" s="5" t="s">
        <v>69</v>
      </c>
      <c r="W5" s="6" t="s">
        <v>68</v>
      </c>
      <c r="X5" s="1" t="s">
        <v>69</v>
      </c>
      <c r="Y5" s="7" t="s">
        <v>70</v>
      </c>
      <c r="Z5" s="3" t="s">
        <v>66</v>
      </c>
      <c r="AA5" s="4" t="s">
        <v>66</v>
      </c>
      <c r="AB5" s="5" t="s">
        <v>66</v>
      </c>
      <c r="AC5" s="6" t="s">
        <v>71</v>
      </c>
      <c r="AD5" s="1" t="s">
        <v>71</v>
      </c>
      <c r="AE5" s="7" t="s">
        <v>71</v>
      </c>
      <c r="AF5" s="3" t="s">
        <v>72</v>
      </c>
      <c r="AG5" s="4" t="s">
        <v>72</v>
      </c>
      <c r="AH5" s="5" t="s">
        <v>72</v>
      </c>
      <c r="AI5" s="6" t="s">
        <v>73</v>
      </c>
      <c r="AJ5" s="1" t="s">
        <v>73</v>
      </c>
      <c r="AK5" s="7" t="s">
        <v>73</v>
      </c>
      <c r="AL5" s="3" t="s">
        <v>74</v>
      </c>
      <c r="AM5" s="5" t="s">
        <v>74</v>
      </c>
      <c r="AN5" s="6" t="s">
        <v>73</v>
      </c>
      <c r="AO5" s="7" t="s">
        <v>73</v>
      </c>
      <c r="AP5" s="3" t="s">
        <v>71</v>
      </c>
      <c r="AQ5" s="4" t="s">
        <v>71</v>
      </c>
      <c r="AR5" s="5" t="s">
        <v>71</v>
      </c>
      <c r="AS5" s="6" t="s">
        <v>70</v>
      </c>
      <c r="AT5" s="1" t="s">
        <v>70</v>
      </c>
      <c r="AU5" s="7" t="s">
        <v>70</v>
      </c>
      <c r="AV5" s="3" t="s">
        <v>69</v>
      </c>
      <c r="AW5" s="4" t="s">
        <v>69</v>
      </c>
      <c r="AX5" s="5" t="s">
        <v>69</v>
      </c>
      <c r="AY5" s="6" t="s">
        <v>68</v>
      </c>
      <c r="AZ5" s="1" t="s">
        <v>68</v>
      </c>
      <c r="BA5" s="7" t="s">
        <v>68</v>
      </c>
      <c r="BB5" s="3" t="s">
        <v>74</v>
      </c>
      <c r="BC5" s="4" t="s">
        <v>74</v>
      </c>
      <c r="BD5" s="5" t="s">
        <v>74</v>
      </c>
      <c r="BE5" s="6" t="s">
        <v>66</v>
      </c>
      <c r="BF5" s="1" t="s">
        <v>66</v>
      </c>
      <c r="BG5" s="7" t="s">
        <v>66</v>
      </c>
    </row>
    <row r="6" spans="1:59" hidden="1">
      <c r="A6" s="30" t="s">
        <v>75</v>
      </c>
      <c r="B6" s="3" t="s">
        <v>76</v>
      </c>
      <c r="C6" s="4" t="s">
        <v>76</v>
      </c>
      <c r="D6" s="5" t="s">
        <v>76</v>
      </c>
      <c r="E6" s="6" t="s">
        <v>77</v>
      </c>
      <c r="F6" s="1" t="s">
        <v>77</v>
      </c>
      <c r="G6" s="7" t="s">
        <v>77</v>
      </c>
      <c r="H6" s="3" t="s">
        <v>78</v>
      </c>
      <c r="I6" s="4" t="s">
        <v>78</v>
      </c>
      <c r="J6" s="5" t="s">
        <v>78</v>
      </c>
      <c r="K6" s="6" t="s">
        <v>79</v>
      </c>
      <c r="L6" s="1" t="s">
        <v>79</v>
      </c>
      <c r="M6" s="7" t="s">
        <v>79</v>
      </c>
      <c r="N6" s="3" t="s">
        <v>80</v>
      </c>
      <c r="O6" s="4" t="s">
        <v>80</v>
      </c>
      <c r="P6" s="5" t="s">
        <v>80</v>
      </c>
      <c r="Q6" s="6" t="s">
        <v>81</v>
      </c>
      <c r="R6" s="1" t="s">
        <v>81</v>
      </c>
      <c r="S6" s="7" t="s">
        <v>81</v>
      </c>
      <c r="T6" s="3" t="s">
        <v>78</v>
      </c>
      <c r="U6" s="4" t="s">
        <v>79</v>
      </c>
      <c r="V6" s="5" t="s">
        <v>80</v>
      </c>
      <c r="W6" s="6" t="s">
        <v>79</v>
      </c>
      <c r="X6" s="1" t="s">
        <v>80</v>
      </c>
      <c r="Y6" s="7" t="s">
        <v>81</v>
      </c>
      <c r="Z6" s="3" t="s">
        <v>77</v>
      </c>
      <c r="AA6" s="4" t="s">
        <v>77</v>
      </c>
      <c r="AB6" s="5" t="s">
        <v>77</v>
      </c>
      <c r="AC6" s="6" t="s">
        <v>82</v>
      </c>
      <c r="AD6" s="1" t="s">
        <v>82</v>
      </c>
      <c r="AE6" s="7" t="s">
        <v>82</v>
      </c>
      <c r="AF6" s="3" t="s">
        <v>83</v>
      </c>
      <c r="AG6" s="4" t="s">
        <v>83</v>
      </c>
      <c r="AH6" s="5" t="s">
        <v>83</v>
      </c>
      <c r="AI6" s="6" t="s">
        <v>84</v>
      </c>
      <c r="AJ6" s="1" t="s">
        <v>84</v>
      </c>
      <c r="AK6" s="7" t="s">
        <v>84</v>
      </c>
      <c r="AL6" s="3" t="s">
        <v>85</v>
      </c>
      <c r="AM6" s="5" t="s">
        <v>85</v>
      </c>
      <c r="AN6" s="6" t="s">
        <v>84</v>
      </c>
      <c r="AO6" s="7" t="s">
        <v>84</v>
      </c>
      <c r="AP6" s="3" t="s">
        <v>82</v>
      </c>
      <c r="AQ6" s="4" t="s">
        <v>82</v>
      </c>
      <c r="AR6" s="5" t="s">
        <v>82</v>
      </c>
      <c r="AS6" s="6" t="s">
        <v>81</v>
      </c>
      <c r="AT6" s="1" t="s">
        <v>81</v>
      </c>
      <c r="AU6" s="7" t="s">
        <v>81</v>
      </c>
      <c r="AV6" s="3" t="s">
        <v>80</v>
      </c>
      <c r="AW6" s="4" t="s">
        <v>80</v>
      </c>
      <c r="AX6" s="5" t="s">
        <v>80</v>
      </c>
      <c r="AY6" s="6" t="s">
        <v>79</v>
      </c>
      <c r="AZ6" s="1" t="s">
        <v>79</v>
      </c>
      <c r="BA6" s="7" t="s">
        <v>79</v>
      </c>
      <c r="BB6" s="3" t="s">
        <v>85</v>
      </c>
      <c r="BC6" s="4" t="s">
        <v>85</v>
      </c>
      <c r="BD6" s="5" t="s">
        <v>85</v>
      </c>
      <c r="BE6" s="6" t="s">
        <v>77</v>
      </c>
      <c r="BF6" s="1" t="s">
        <v>77</v>
      </c>
      <c r="BG6" s="7" t="s">
        <v>77</v>
      </c>
    </row>
    <row r="7" spans="1:59" hidden="1">
      <c r="A7" s="30" t="s">
        <v>86</v>
      </c>
      <c r="B7" s="3" t="s">
        <v>87</v>
      </c>
      <c r="C7" s="4" t="s">
        <v>87</v>
      </c>
      <c r="D7" s="5" t="s">
        <v>87</v>
      </c>
      <c r="E7" s="6" t="s">
        <v>88</v>
      </c>
      <c r="F7" s="1" t="s">
        <v>88</v>
      </c>
      <c r="G7" s="7" t="s">
        <v>88</v>
      </c>
      <c r="H7" s="3" t="s">
        <v>89</v>
      </c>
      <c r="I7" s="4" t="s">
        <v>89</v>
      </c>
      <c r="J7" s="5" t="s">
        <v>89</v>
      </c>
      <c r="K7" s="6" t="s">
        <v>90</v>
      </c>
      <c r="L7" s="1" t="s">
        <v>90</v>
      </c>
      <c r="M7" s="7" t="s">
        <v>90</v>
      </c>
      <c r="N7" s="3" t="s">
        <v>91</v>
      </c>
      <c r="O7" s="4" t="s">
        <v>91</v>
      </c>
      <c r="P7" s="5" t="s">
        <v>91</v>
      </c>
      <c r="Q7" s="6" t="s">
        <v>92</v>
      </c>
      <c r="R7" s="1" t="s">
        <v>92</v>
      </c>
      <c r="S7" s="7" t="s">
        <v>92</v>
      </c>
      <c r="T7" s="3" t="s">
        <v>89</v>
      </c>
      <c r="U7" s="4" t="s">
        <v>90</v>
      </c>
      <c r="V7" s="5" t="s">
        <v>91</v>
      </c>
      <c r="W7" s="6" t="s">
        <v>90</v>
      </c>
      <c r="X7" s="1" t="s">
        <v>91</v>
      </c>
      <c r="Y7" s="7" t="s">
        <v>92</v>
      </c>
      <c r="Z7" s="3" t="s">
        <v>88</v>
      </c>
      <c r="AA7" s="4" t="s">
        <v>88</v>
      </c>
      <c r="AB7" s="5" t="s">
        <v>88</v>
      </c>
      <c r="AC7" s="6" t="s">
        <v>93</v>
      </c>
      <c r="AD7" s="1" t="s">
        <v>93</v>
      </c>
      <c r="AE7" s="7" t="s">
        <v>93</v>
      </c>
      <c r="AF7" s="3" t="s">
        <v>94</v>
      </c>
      <c r="AG7" s="4" t="s">
        <v>94</v>
      </c>
      <c r="AH7" s="5" t="s">
        <v>94</v>
      </c>
      <c r="AI7" s="6" t="s">
        <v>95</v>
      </c>
      <c r="AJ7" s="1" t="s">
        <v>95</v>
      </c>
      <c r="AK7" s="7" t="s">
        <v>95</v>
      </c>
      <c r="AL7" s="3" t="s">
        <v>96</v>
      </c>
      <c r="AM7" s="5" t="s">
        <v>96</v>
      </c>
      <c r="AN7" s="6" t="s">
        <v>95</v>
      </c>
      <c r="AO7" s="7" t="s">
        <v>95</v>
      </c>
      <c r="AP7" s="3" t="s">
        <v>93</v>
      </c>
      <c r="AQ7" s="4" t="s">
        <v>93</v>
      </c>
      <c r="AR7" s="5" t="s">
        <v>93</v>
      </c>
      <c r="AS7" s="6" t="s">
        <v>92</v>
      </c>
      <c r="AT7" s="1" t="s">
        <v>92</v>
      </c>
      <c r="AU7" s="7" t="s">
        <v>92</v>
      </c>
      <c r="AV7" s="3" t="s">
        <v>91</v>
      </c>
      <c r="AW7" s="4" t="s">
        <v>91</v>
      </c>
      <c r="AX7" s="5" t="s">
        <v>91</v>
      </c>
      <c r="AY7" s="6" t="s">
        <v>90</v>
      </c>
      <c r="AZ7" s="1" t="s">
        <v>90</v>
      </c>
      <c r="BA7" s="7" t="s">
        <v>90</v>
      </c>
      <c r="BB7" s="3" t="s">
        <v>96</v>
      </c>
      <c r="BC7" s="4" t="s">
        <v>96</v>
      </c>
      <c r="BD7" s="5" t="s">
        <v>96</v>
      </c>
      <c r="BE7" s="6" t="s">
        <v>88</v>
      </c>
      <c r="BF7" s="1" t="s">
        <v>88</v>
      </c>
      <c r="BG7" s="7" t="s">
        <v>88</v>
      </c>
    </row>
    <row r="8" spans="1:59" hidden="1">
      <c r="A8" s="30" t="s">
        <v>97</v>
      </c>
      <c r="B8" s="3" t="s">
        <v>98</v>
      </c>
      <c r="C8" s="4" t="s">
        <v>98</v>
      </c>
      <c r="D8" s="5" t="s">
        <v>98</v>
      </c>
      <c r="E8" s="6" t="s">
        <v>99</v>
      </c>
      <c r="F8" s="1" t="s">
        <v>99</v>
      </c>
      <c r="G8" s="7" t="s">
        <v>99</v>
      </c>
      <c r="H8" s="3" t="s">
        <v>100</v>
      </c>
      <c r="I8" s="4" t="s">
        <v>100</v>
      </c>
      <c r="J8" s="5" t="s">
        <v>100</v>
      </c>
      <c r="K8" s="6" t="s">
        <v>101</v>
      </c>
      <c r="L8" s="1" t="s">
        <v>101</v>
      </c>
      <c r="M8" s="7" t="s">
        <v>101</v>
      </c>
      <c r="N8" s="3" t="s">
        <v>102</v>
      </c>
      <c r="O8" s="4" t="s">
        <v>102</v>
      </c>
      <c r="P8" s="5" t="s">
        <v>102</v>
      </c>
      <c r="Q8" s="6" t="s">
        <v>103</v>
      </c>
      <c r="R8" s="1" t="s">
        <v>103</v>
      </c>
      <c r="S8" s="7" t="s">
        <v>103</v>
      </c>
      <c r="T8" s="3" t="s">
        <v>100</v>
      </c>
      <c r="U8" s="4" t="s">
        <v>101</v>
      </c>
      <c r="V8" s="5" t="s">
        <v>102</v>
      </c>
      <c r="W8" s="6" t="s">
        <v>101</v>
      </c>
      <c r="X8" s="1" t="s">
        <v>102</v>
      </c>
      <c r="Y8" s="7" t="s">
        <v>103</v>
      </c>
      <c r="Z8" s="3" t="s">
        <v>99</v>
      </c>
      <c r="AA8" s="4" t="s">
        <v>99</v>
      </c>
      <c r="AB8" s="5" t="s">
        <v>99</v>
      </c>
      <c r="AC8" s="6" t="s">
        <v>104</v>
      </c>
      <c r="AD8" s="1" t="s">
        <v>104</v>
      </c>
      <c r="AE8" s="7" t="s">
        <v>104</v>
      </c>
      <c r="AF8" s="3" t="s">
        <v>105</v>
      </c>
      <c r="AG8" s="4" t="s">
        <v>105</v>
      </c>
      <c r="AH8" s="5" t="s">
        <v>105</v>
      </c>
      <c r="AI8" s="6" t="s">
        <v>106</v>
      </c>
      <c r="AJ8" s="1" t="s">
        <v>106</v>
      </c>
      <c r="AK8" s="7" t="s">
        <v>106</v>
      </c>
      <c r="AL8" s="3" t="s">
        <v>107</v>
      </c>
      <c r="AM8" s="5" t="s">
        <v>107</v>
      </c>
      <c r="AN8" s="6" t="s">
        <v>106</v>
      </c>
      <c r="AO8" s="7" t="s">
        <v>106</v>
      </c>
      <c r="AP8" s="3" t="s">
        <v>104</v>
      </c>
      <c r="AQ8" s="4" t="s">
        <v>104</v>
      </c>
      <c r="AR8" s="5" t="s">
        <v>104</v>
      </c>
      <c r="AS8" s="6" t="s">
        <v>103</v>
      </c>
      <c r="AT8" s="1" t="s">
        <v>103</v>
      </c>
      <c r="AU8" s="7" t="s">
        <v>103</v>
      </c>
      <c r="AV8" s="3" t="s">
        <v>102</v>
      </c>
      <c r="AW8" s="4" t="s">
        <v>102</v>
      </c>
      <c r="AX8" s="5" t="s">
        <v>102</v>
      </c>
      <c r="AY8" s="6" t="s">
        <v>101</v>
      </c>
      <c r="AZ8" s="1" t="s">
        <v>101</v>
      </c>
      <c r="BA8" s="7" t="s">
        <v>101</v>
      </c>
      <c r="BB8" s="3" t="s">
        <v>107</v>
      </c>
      <c r="BC8" s="4" t="s">
        <v>107</v>
      </c>
      <c r="BD8" s="5" t="s">
        <v>107</v>
      </c>
      <c r="BE8" s="6" t="s">
        <v>99</v>
      </c>
      <c r="BF8" s="1" t="s">
        <v>99</v>
      </c>
      <c r="BG8" s="7" t="s">
        <v>99</v>
      </c>
    </row>
    <row r="9" spans="1:59">
      <c r="A9" s="30" t="s">
        <v>108</v>
      </c>
      <c r="B9" s="3" t="s">
        <v>109</v>
      </c>
      <c r="C9" s="4" t="s">
        <v>109</v>
      </c>
      <c r="D9" s="5" t="s">
        <v>109</v>
      </c>
      <c r="E9" s="6" t="s">
        <v>110</v>
      </c>
      <c r="F9" s="1" t="s">
        <v>110</v>
      </c>
      <c r="G9" s="7" t="s">
        <v>110</v>
      </c>
      <c r="H9" s="3" t="s">
        <v>111</v>
      </c>
      <c r="I9" s="4" t="s">
        <v>111</v>
      </c>
      <c r="J9" s="5" t="s">
        <v>111</v>
      </c>
      <c r="K9" s="6" t="s">
        <v>112</v>
      </c>
      <c r="L9" s="1" t="s">
        <v>112</v>
      </c>
      <c r="M9" s="7" t="s">
        <v>112</v>
      </c>
      <c r="N9" s="3" t="s">
        <v>113</v>
      </c>
      <c r="O9" s="4" t="s">
        <v>113</v>
      </c>
      <c r="P9" s="5" t="s">
        <v>113</v>
      </c>
      <c r="Q9" s="6" t="s">
        <v>114</v>
      </c>
      <c r="R9" s="1" t="s">
        <v>114</v>
      </c>
      <c r="S9" s="7" t="s">
        <v>114</v>
      </c>
      <c r="T9" s="3" t="s">
        <v>115</v>
      </c>
      <c r="U9" s="4" t="s">
        <v>115</v>
      </c>
      <c r="V9" s="5" t="s">
        <v>115</v>
      </c>
      <c r="W9" s="6" t="s">
        <v>116</v>
      </c>
      <c r="X9" s="1" t="s">
        <v>116</v>
      </c>
      <c r="Y9" s="7" t="s">
        <v>116</v>
      </c>
      <c r="Z9" s="3" t="s">
        <v>117</v>
      </c>
      <c r="AA9" s="4" t="s">
        <v>117</v>
      </c>
      <c r="AB9" s="5" t="s">
        <v>117</v>
      </c>
      <c r="AC9" s="6" t="s">
        <v>118</v>
      </c>
      <c r="AD9" s="1" t="s">
        <v>118</v>
      </c>
      <c r="AE9" s="7" t="s">
        <v>118</v>
      </c>
      <c r="AF9" s="3" t="s">
        <v>119</v>
      </c>
      <c r="AG9" s="4" t="s">
        <v>119</v>
      </c>
      <c r="AH9" s="5" t="s">
        <v>119</v>
      </c>
      <c r="AI9" s="6" t="s">
        <v>120</v>
      </c>
      <c r="AJ9" s="1" t="s">
        <v>120</v>
      </c>
      <c r="AK9" s="7" t="s">
        <v>120</v>
      </c>
      <c r="AL9" s="3" t="s">
        <v>121</v>
      </c>
      <c r="AM9" s="5" t="s">
        <v>121</v>
      </c>
      <c r="AN9" s="6" t="s">
        <v>122</v>
      </c>
      <c r="AO9" s="7" t="s">
        <v>122</v>
      </c>
      <c r="AP9" s="3" t="s">
        <v>123</v>
      </c>
      <c r="AQ9" s="4" t="s">
        <v>123</v>
      </c>
      <c r="AR9" s="5" t="s">
        <v>123</v>
      </c>
      <c r="AS9" s="6" t="s">
        <v>124</v>
      </c>
      <c r="AT9" s="1" t="s">
        <v>124</v>
      </c>
      <c r="AU9" s="7" t="s">
        <v>124</v>
      </c>
      <c r="AV9" s="3" t="s">
        <v>125</v>
      </c>
      <c r="AW9" s="4" t="s">
        <v>125</v>
      </c>
      <c r="AX9" s="5" t="s">
        <v>125</v>
      </c>
      <c r="AY9" s="6" t="s">
        <v>126</v>
      </c>
      <c r="AZ9" s="1" t="s">
        <v>126</v>
      </c>
      <c r="BA9" s="7" t="s">
        <v>126</v>
      </c>
      <c r="BB9" s="3" t="s">
        <v>127</v>
      </c>
      <c r="BC9" s="4" t="s">
        <v>127</v>
      </c>
      <c r="BD9" s="5" t="s">
        <v>127</v>
      </c>
      <c r="BE9" s="6" t="s">
        <v>128</v>
      </c>
      <c r="BF9" s="1" t="s">
        <v>128</v>
      </c>
      <c r="BG9" s="7" t="s">
        <v>128</v>
      </c>
    </row>
    <row r="10" spans="1:59">
      <c r="A10" s="30" t="s">
        <v>129</v>
      </c>
      <c r="B10" s="3" t="s">
        <v>130</v>
      </c>
      <c r="C10" s="4" t="s">
        <v>130</v>
      </c>
      <c r="D10" s="5" t="s">
        <v>130</v>
      </c>
      <c r="E10" s="6" t="s">
        <v>131</v>
      </c>
      <c r="F10" s="1" t="s">
        <v>131</v>
      </c>
      <c r="G10" s="7" t="s">
        <v>131</v>
      </c>
      <c r="H10" s="3" t="s">
        <v>132</v>
      </c>
      <c r="I10" s="4" t="s">
        <v>132</v>
      </c>
      <c r="J10" s="5" t="s">
        <v>132</v>
      </c>
      <c r="K10" s="6" t="s">
        <v>133</v>
      </c>
      <c r="L10" s="1" t="s">
        <v>133</v>
      </c>
      <c r="M10" s="7" t="s">
        <v>133</v>
      </c>
      <c r="N10" s="3" t="s">
        <v>134</v>
      </c>
      <c r="O10" s="4" t="s">
        <v>134</v>
      </c>
      <c r="P10" s="5" t="s">
        <v>134</v>
      </c>
      <c r="Q10" s="6" t="s">
        <v>135</v>
      </c>
      <c r="R10" s="1" t="s">
        <v>135</v>
      </c>
      <c r="S10" s="7" t="s">
        <v>135</v>
      </c>
      <c r="T10" s="3" t="s">
        <v>136</v>
      </c>
      <c r="U10" s="4" t="s">
        <v>136</v>
      </c>
      <c r="V10" s="5" t="s">
        <v>136</v>
      </c>
      <c r="W10" s="6" t="s">
        <v>137</v>
      </c>
      <c r="X10" s="1" t="s">
        <v>137</v>
      </c>
      <c r="Y10" s="7" t="s">
        <v>137</v>
      </c>
      <c r="Z10" s="3" t="s">
        <v>138</v>
      </c>
      <c r="AA10" s="4" t="s">
        <v>138</v>
      </c>
      <c r="AB10" s="5" t="s">
        <v>138</v>
      </c>
      <c r="AC10" s="6" t="s">
        <v>139</v>
      </c>
      <c r="AD10" s="1" t="s">
        <v>139</v>
      </c>
      <c r="AE10" s="7" t="s">
        <v>139</v>
      </c>
      <c r="AF10" s="3" t="s">
        <v>140</v>
      </c>
      <c r="AG10" s="4" t="s">
        <v>140</v>
      </c>
      <c r="AH10" s="5" t="s">
        <v>140</v>
      </c>
      <c r="AI10" s="6" t="s">
        <v>141</v>
      </c>
      <c r="AJ10" s="1" t="s">
        <v>141</v>
      </c>
      <c r="AK10" s="7" t="s">
        <v>141</v>
      </c>
      <c r="AL10" s="3" t="s">
        <v>142</v>
      </c>
      <c r="AM10" s="5" t="s">
        <v>142</v>
      </c>
      <c r="AN10" s="6" t="s">
        <v>143</v>
      </c>
      <c r="AO10" s="7" t="s">
        <v>143</v>
      </c>
      <c r="AP10" s="3" t="s">
        <v>144</v>
      </c>
      <c r="AQ10" s="4" t="s">
        <v>144</v>
      </c>
      <c r="AR10" s="5" t="s">
        <v>144</v>
      </c>
      <c r="AS10" s="6" t="s">
        <v>145</v>
      </c>
      <c r="AT10" s="1" t="s">
        <v>145</v>
      </c>
      <c r="AU10" s="7" t="s">
        <v>145</v>
      </c>
      <c r="AV10" s="3" t="s">
        <v>146</v>
      </c>
      <c r="AW10" s="4" t="s">
        <v>146</v>
      </c>
      <c r="AX10" s="5" t="s">
        <v>146</v>
      </c>
      <c r="AY10" s="6" t="s">
        <v>147</v>
      </c>
      <c r="AZ10" s="1" t="s">
        <v>147</v>
      </c>
      <c r="BA10" s="7" t="s">
        <v>147</v>
      </c>
      <c r="BB10" s="3" t="s">
        <v>148</v>
      </c>
      <c r="BC10" s="4" t="s">
        <v>148</v>
      </c>
      <c r="BD10" s="5" t="s">
        <v>148</v>
      </c>
      <c r="BE10" s="6" t="s">
        <v>149</v>
      </c>
      <c r="BF10" s="1" t="s">
        <v>149</v>
      </c>
      <c r="BG10" s="7" t="s">
        <v>149</v>
      </c>
    </row>
    <row r="11" spans="1:59">
      <c r="A11" s="30" t="s">
        <v>150</v>
      </c>
      <c r="B11" s="3" t="s">
        <v>151</v>
      </c>
      <c r="C11" s="4" t="s">
        <v>152</v>
      </c>
      <c r="D11" s="5" t="s">
        <v>153</v>
      </c>
      <c r="E11" s="6" t="s">
        <v>151</v>
      </c>
      <c r="F11" s="1" t="s">
        <v>152</v>
      </c>
      <c r="G11" s="7" t="s">
        <v>153</v>
      </c>
      <c r="H11" s="3" t="s">
        <v>151</v>
      </c>
      <c r="I11" s="4" t="s">
        <v>152</v>
      </c>
      <c r="J11" s="5" t="s">
        <v>153</v>
      </c>
      <c r="K11" s="6" t="s">
        <v>151</v>
      </c>
      <c r="L11" s="1" t="s">
        <v>152</v>
      </c>
      <c r="M11" s="7" t="s">
        <v>153</v>
      </c>
      <c r="N11" s="3" t="s">
        <v>151</v>
      </c>
      <c r="O11" s="4" t="s">
        <v>152</v>
      </c>
      <c r="P11" s="5" t="s">
        <v>153</v>
      </c>
      <c r="Q11" s="6" t="s">
        <v>151</v>
      </c>
      <c r="R11" s="1" t="s">
        <v>152</v>
      </c>
      <c r="S11" s="7" t="s">
        <v>153</v>
      </c>
      <c r="T11" s="20" t="s">
        <v>153</v>
      </c>
      <c r="U11" s="4" t="s">
        <v>152</v>
      </c>
      <c r="V11" s="21" t="s">
        <v>151</v>
      </c>
      <c r="W11" s="6" t="s">
        <v>151</v>
      </c>
      <c r="X11" s="1" t="s">
        <v>152</v>
      </c>
      <c r="Y11" s="7" t="s">
        <v>153</v>
      </c>
      <c r="Z11" s="3" t="s">
        <v>151</v>
      </c>
      <c r="AA11" s="4" t="s">
        <v>152</v>
      </c>
      <c r="AB11" s="5" t="s">
        <v>153</v>
      </c>
      <c r="AC11" s="6" t="s">
        <v>151</v>
      </c>
      <c r="AD11" s="1" t="s">
        <v>152</v>
      </c>
      <c r="AE11" s="7" t="s">
        <v>153</v>
      </c>
      <c r="AF11" s="3" t="s">
        <v>151</v>
      </c>
      <c r="AG11" s="4" t="s">
        <v>152</v>
      </c>
      <c r="AH11" s="5" t="s">
        <v>153</v>
      </c>
      <c r="AI11" s="6" t="s">
        <v>151</v>
      </c>
      <c r="AJ11" s="1" t="s">
        <v>152</v>
      </c>
      <c r="AK11" s="7" t="s">
        <v>153</v>
      </c>
      <c r="AL11" s="3" t="s">
        <v>151</v>
      </c>
      <c r="AM11" s="5" t="s">
        <v>152</v>
      </c>
      <c r="AN11" s="6" t="s">
        <v>151</v>
      </c>
      <c r="AO11" s="7" t="s">
        <v>152</v>
      </c>
      <c r="AP11" s="3" t="s">
        <v>151</v>
      </c>
      <c r="AQ11" s="4" t="s">
        <v>152</v>
      </c>
      <c r="AR11" s="5" t="s">
        <v>153</v>
      </c>
      <c r="AS11" s="6" t="s">
        <v>151</v>
      </c>
      <c r="AT11" s="1" t="s">
        <v>152</v>
      </c>
      <c r="AU11" s="7" t="s">
        <v>153</v>
      </c>
      <c r="AV11" s="3" t="s">
        <v>151</v>
      </c>
      <c r="AW11" s="4" t="s">
        <v>152</v>
      </c>
      <c r="AX11" s="5" t="s">
        <v>153</v>
      </c>
      <c r="AY11" s="6" t="s">
        <v>151</v>
      </c>
      <c r="AZ11" s="1" t="s">
        <v>152</v>
      </c>
      <c r="BA11" s="7" t="s">
        <v>153</v>
      </c>
      <c r="BB11" s="3" t="s">
        <v>151</v>
      </c>
      <c r="BC11" s="4" t="s">
        <v>152</v>
      </c>
      <c r="BD11" s="5" t="s">
        <v>153</v>
      </c>
      <c r="BE11" s="6" t="s">
        <v>151</v>
      </c>
      <c r="BF11" s="1" t="s">
        <v>152</v>
      </c>
      <c r="BG11" s="7" t="s">
        <v>153</v>
      </c>
    </row>
    <row r="12" spans="1:59">
      <c r="A12" s="30" t="s">
        <v>154</v>
      </c>
      <c r="B12" s="3" t="s">
        <v>155</v>
      </c>
      <c r="C12" s="4" t="s">
        <v>155</v>
      </c>
      <c r="D12" s="5" t="s">
        <v>155</v>
      </c>
      <c r="E12" s="6" t="s">
        <v>155</v>
      </c>
      <c r="F12" s="1" t="s">
        <v>155</v>
      </c>
      <c r="G12" s="7" t="s">
        <v>155</v>
      </c>
      <c r="H12" s="3" t="s">
        <v>155</v>
      </c>
      <c r="I12" s="4" t="s">
        <v>155</v>
      </c>
      <c r="J12" s="5" t="s">
        <v>155</v>
      </c>
      <c r="K12" s="6" t="s">
        <v>155</v>
      </c>
      <c r="L12" s="1" t="s">
        <v>155</v>
      </c>
      <c r="M12" s="7" t="s">
        <v>155</v>
      </c>
      <c r="N12" s="3" t="s">
        <v>155</v>
      </c>
      <c r="O12" s="4" t="s">
        <v>155</v>
      </c>
      <c r="P12" s="5" t="s">
        <v>155</v>
      </c>
      <c r="Q12" s="6" t="s">
        <v>155</v>
      </c>
      <c r="R12" s="1" t="s">
        <v>155</v>
      </c>
      <c r="S12" s="7" t="s">
        <v>155</v>
      </c>
      <c r="T12" s="3" t="s">
        <v>155</v>
      </c>
      <c r="U12" s="4" t="s">
        <v>155</v>
      </c>
      <c r="V12" s="5" t="s">
        <v>155</v>
      </c>
      <c r="W12" s="6" t="s">
        <v>155</v>
      </c>
      <c r="X12" s="1" t="s">
        <v>155</v>
      </c>
      <c r="Y12" s="7" t="s">
        <v>155</v>
      </c>
      <c r="Z12" s="3" t="s">
        <v>155</v>
      </c>
      <c r="AA12" s="4" t="s">
        <v>155</v>
      </c>
      <c r="AB12" s="5" t="s">
        <v>156</v>
      </c>
      <c r="AC12" s="6" t="s">
        <v>155</v>
      </c>
      <c r="AD12" s="1" t="s">
        <v>155</v>
      </c>
      <c r="AE12" s="7" t="s">
        <v>156</v>
      </c>
      <c r="AF12" s="3" t="s">
        <v>155</v>
      </c>
      <c r="AG12" s="4" t="s">
        <v>155</v>
      </c>
      <c r="AH12" s="5" t="s">
        <v>156</v>
      </c>
      <c r="AI12" s="6" t="s">
        <v>155</v>
      </c>
      <c r="AJ12" s="1" t="s">
        <v>155</v>
      </c>
      <c r="AK12" s="7" t="s">
        <v>156</v>
      </c>
      <c r="AL12" s="3" t="s">
        <v>155</v>
      </c>
      <c r="AM12" s="5" t="s">
        <v>155</v>
      </c>
      <c r="AN12" s="6" t="s">
        <v>155</v>
      </c>
      <c r="AO12" s="7" t="s">
        <v>155</v>
      </c>
      <c r="AP12" s="3" t="s">
        <v>155</v>
      </c>
      <c r="AQ12" s="4" t="s">
        <v>156</v>
      </c>
      <c r="AR12" s="5" t="s">
        <v>156</v>
      </c>
      <c r="AS12" s="6" t="s">
        <v>155</v>
      </c>
      <c r="AT12" s="1" t="s">
        <v>156</v>
      </c>
      <c r="AU12" s="7" t="s">
        <v>156</v>
      </c>
      <c r="AV12" s="3" t="s">
        <v>155</v>
      </c>
      <c r="AW12" s="4" t="s">
        <v>156</v>
      </c>
      <c r="AX12" s="5" t="s">
        <v>156</v>
      </c>
      <c r="AY12" s="6" t="s">
        <v>155</v>
      </c>
      <c r="AZ12" s="1" t="s">
        <v>156</v>
      </c>
      <c r="BA12" s="7" t="s">
        <v>156</v>
      </c>
      <c r="BB12" s="3" t="s">
        <v>156</v>
      </c>
      <c r="BC12" s="4" t="s">
        <v>156</v>
      </c>
      <c r="BD12" s="5" t="s">
        <v>156</v>
      </c>
      <c r="BE12" s="6" t="s">
        <v>156</v>
      </c>
      <c r="BF12" s="1" t="s">
        <v>156</v>
      </c>
      <c r="BG12" s="7" t="s">
        <v>156</v>
      </c>
    </row>
    <row r="13" spans="1:59">
      <c r="A13" s="30" t="s">
        <v>157</v>
      </c>
      <c r="B13" s="3" t="s">
        <v>158</v>
      </c>
      <c r="C13" s="4" t="s">
        <v>158</v>
      </c>
      <c r="D13" s="5" t="s">
        <v>158</v>
      </c>
      <c r="E13" s="6" t="s">
        <v>158</v>
      </c>
      <c r="F13" s="1" t="s">
        <v>158</v>
      </c>
      <c r="G13" s="7" t="s">
        <v>158</v>
      </c>
      <c r="H13" s="3" t="s">
        <v>158</v>
      </c>
      <c r="I13" s="4" t="s">
        <v>158</v>
      </c>
      <c r="J13" s="5" t="s">
        <v>158</v>
      </c>
      <c r="K13" s="6" t="s">
        <v>158</v>
      </c>
      <c r="L13" s="1" t="s">
        <v>158</v>
      </c>
      <c r="M13" s="7" t="s">
        <v>158</v>
      </c>
      <c r="N13" s="3" t="s">
        <v>158</v>
      </c>
      <c r="O13" s="4" t="s">
        <v>158</v>
      </c>
      <c r="P13" s="5" t="s">
        <v>158</v>
      </c>
      <c r="Q13" s="6" t="s">
        <v>158</v>
      </c>
      <c r="R13" s="1" t="s">
        <v>158</v>
      </c>
      <c r="S13" s="7" t="s">
        <v>158</v>
      </c>
      <c r="T13" s="3" t="s">
        <v>158</v>
      </c>
      <c r="U13" s="4" t="s">
        <v>158</v>
      </c>
      <c r="V13" s="5" t="s">
        <v>158</v>
      </c>
      <c r="W13" s="6" t="s">
        <v>158</v>
      </c>
      <c r="X13" s="1" t="s">
        <v>158</v>
      </c>
      <c r="Y13" s="7" t="s">
        <v>158</v>
      </c>
      <c r="Z13" s="3" t="s">
        <v>158</v>
      </c>
      <c r="AA13" s="4" t="s">
        <v>158</v>
      </c>
      <c r="AB13" s="5">
        <v>0</v>
      </c>
      <c r="AC13" s="6" t="s">
        <v>158</v>
      </c>
      <c r="AD13" s="1" t="s">
        <v>158</v>
      </c>
      <c r="AE13" s="7">
        <v>0</v>
      </c>
      <c r="AF13" s="3" t="s">
        <v>158</v>
      </c>
      <c r="AG13" s="4" t="s">
        <v>158</v>
      </c>
      <c r="AH13" s="5">
        <v>0</v>
      </c>
      <c r="AI13" s="6" t="s">
        <v>158</v>
      </c>
      <c r="AJ13" s="1" t="s">
        <v>158</v>
      </c>
      <c r="AK13" s="7">
        <v>0</v>
      </c>
      <c r="AL13" s="3" t="s">
        <v>158</v>
      </c>
      <c r="AM13" s="5" t="s">
        <v>158</v>
      </c>
      <c r="AN13" s="6" t="s">
        <v>158</v>
      </c>
      <c r="AO13" s="7" t="s">
        <v>158</v>
      </c>
      <c r="AP13" s="3" t="s">
        <v>158</v>
      </c>
      <c r="AQ13" s="4">
        <v>0</v>
      </c>
      <c r="AR13" s="5">
        <v>0</v>
      </c>
      <c r="AS13" s="6" t="s">
        <v>158</v>
      </c>
      <c r="AT13" s="1">
        <v>0</v>
      </c>
      <c r="AU13" s="7">
        <v>0</v>
      </c>
      <c r="AV13" s="3" t="s">
        <v>158</v>
      </c>
      <c r="AW13" s="4">
        <v>0</v>
      </c>
      <c r="AX13" s="5">
        <v>0</v>
      </c>
      <c r="AY13" s="6" t="s">
        <v>158</v>
      </c>
      <c r="AZ13" s="1">
        <v>0</v>
      </c>
      <c r="BA13" s="7">
        <v>0</v>
      </c>
      <c r="BB13" s="3">
        <v>0</v>
      </c>
      <c r="BC13" s="4">
        <v>0</v>
      </c>
      <c r="BD13" s="5">
        <v>0</v>
      </c>
      <c r="BE13" s="6">
        <v>0</v>
      </c>
      <c r="BF13" s="1">
        <v>0</v>
      </c>
      <c r="BG13" s="7">
        <v>0</v>
      </c>
    </row>
    <row r="14" spans="1:59">
      <c r="A14" s="30" t="s">
        <v>159</v>
      </c>
      <c r="B14" s="3" t="s">
        <v>160</v>
      </c>
      <c r="C14" s="4" t="s">
        <v>161</v>
      </c>
      <c r="D14" s="5" t="s">
        <v>161</v>
      </c>
      <c r="E14" s="6" t="s">
        <v>161</v>
      </c>
      <c r="F14" s="1" t="s">
        <v>161</v>
      </c>
      <c r="G14" s="7" t="s">
        <v>161</v>
      </c>
      <c r="H14" s="3" t="s">
        <v>161</v>
      </c>
      <c r="I14" s="4" t="s">
        <v>161</v>
      </c>
      <c r="J14" s="5" t="s">
        <v>161</v>
      </c>
      <c r="K14" s="6" t="s">
        <v>161</v>
      </c>
      <c r="L14" s="1" t="s">
        <v>161</v>
      </c>
      <c r="M14" s="7" t="s">
        <v>161</v>
      </c>
      <c r="N14" s="3" t="s">
        <v>161</v>
      </c>
      <c r="O14" s="4" t="s">
        <v>161</v>
      </c>
      <c r="P14" s="5" t="s">
        <v>161</v>
      </c>
      <c r="Q14" s="6" t="s">
        <v>161</v>
      </c>
      <c r="R14" s="1" t="s">
        <v>161</v>
      </c>
      <c r="S14" s="7" t="s">
        <v>161</v>
      </c>
      <c r="T14" s="3" t="s">
        <v>161</v>
      </c>
      <c r="U14" s="4" t="s">
        <v>161</v>
      </c>
      <c r="V14" s="5" t="s">
        <v>161</v>
      </c>
      <c r="W14" s="6" t="s">
        <v>161</v>
      </c>
      <c r="X14" s="1" t="s">
        <v>161</v>
      </c>
      <c r="Y14" s="7" t="s">
        <v>161</v>
      </c>
      <c r="Z14" s="3" t="s">
        <v>161</v>
      </c>
      <c r="AA14" s="4" t="s">
        <v>161</v>
      </c>
      <c r="AB14" s="5" t="s">
        <v>161</v>
      </c>
      <c r="AC14" s="6" t="s">
        <v>161</v>
      </c>
      <c r="AD14" s="1" t="s">
        <v>161</v>
      </c>
      <c r="AE14" s="7" t="s">
        <v>161</v>
      </c>
      <c r="AF14" s="3" t="s">
        <v>161</v>
      </c>
      <c r="AG14" s="4" t="s">
        <v>161</v>
      </c>
      <c r="AH14" s="5" t="s">
        <v>161</v>
      </c>
      <c r="AI14" s="6" t="s">
        <v>161</v>
      </c>
      <c r="AJ14" s="1" t="s">
        <v>161</v>
      </c>
      <c r="AK14" s="7" t="s">
        <v>161</v>
      </c>
      <c r="AL14" s="3" t="s">
        <v>161</v>
      </c>
      <c r="AM14" s="5" t="s">
        <v>161</v>
      </c>
      <c r="AN14" s="6" t="s">
        <v>161</v>
      </c>
      <c r="AO14" s="7" t="s">
        <v>161</v>
      </c>
      <c r="AP14" s="3" t="s">
        <v>161</v>
      </c>
      <c r="AQ14" s="4" t="s">
        <v>161</v>
      </c>
      <c r="AR14" s="5" t="s">
        <v>161</v>
      </c>
      <c r="AS14" s="6" t="s">
        <v>161</v>
      </c>
      <c r="AT14" s="1" t="s">
        <v>161</v>
      </c>
      <c r="AU14" s="7" t="s">
        <v>161</v>
      </c>
      <c r="AV14" s="3" t="s">
        <v>161</v>
      </c>
      <c r="AW14" s="4" t="s">
        <v>161</v>
      </c>
      <c r="AX14" s="5" t="s">
        <v>161</v>
      </c>
      <c r="AY14" s="6" t="s">
        <v>161</v>
      </c>
      <c r="AZ14" s="1" t="s">
        <v>161</v>
      </c>
      <c r="BA14" s="7" t="s">
        <v>161</v>
      </c>
      <c r="BB14" s="3" t="s">
        <v>161</v>
      </c>
      <c r="BC14" s="4" t="s">
        <v>161</v>
      </c>
      <c r="BD14" s="5" t="s">
        <v>161</v>
      </c>
      <c r="BE14" s="6" t="s">
        <v>161</v>
      </c>
      <c r="BF14" s="1" t="s">
        <v>161</v>
      </c>
      <c r="BG14" s="7" t="s">
        <v>161</v>
      </c>
    </row>
    <row r="15" spans="1:59">
      <c r="A15" s="30" t="s">
        <v>162</v>
      </c>
      <c r="B15" s="3"/>
      <c r="C15" s="4"/>
      <c r="D15" s="5"/>
      <c r="E15" s="6"/>
      <c r="F15" s="1"/>
      <c r="G15" s="7"/>
      <c r="H15" s="3"/>
      <c r="I15" s="4"/>
      <c r="J15" s="5"/>
      <c r="K15" s="6"/>
      <c r="L15" s="1"/>
      <c r="M15" s="7"/>
      <c r="N15" s="3"/>
      <c r="O15" s="4"/>
      <c r="P15" s="5"/>
      <c r="Q15" s="6"/>
      <c r="R15" s="1"/>
      <c r="S15" s="7"/>
      <c r="T15" s="3"/>
      <c r="U15" s="4"/>
      <c r="V15" s="5"/>
      <c r="W15" s="6"/>
      <c r="X15" s="1"/>
      <c r="Y15" s="7"/>
      <c r="Z15" s="3"/>
      <c r="AA15" s="4"/>
      <c r="AB15" s="5"/>
      <c r="AC15" s="6"/>
      <c r="AD15" s="1"/>
      <c r="AE15" s="7"/>
      <c r="AF15" s="3"/>
      <c r="AG15" s="4"/>
      <c r="AH15" s="5"/>
      <c r="AI15" s="6"/>
      <c r="AJ15" s="1"/>
      <c r="AK15" s="7"/>
      <c r="AL15" s="3"/>
      <c r="AM15" s="5"/>
      <c r="AN15" s="6"/>
      <c r="AO15" s="7"/>
      <c r="AP15" s="3"/>
      <c r="AQ15" s="4"/>
      <c r="AR15" s="5"/>
      <c r="AS15" s="6"/>
      <c r="AT15" s="1"/>
      <c r="AU15" s="7"/>
      <c r="AV15" s="3"/>
      <c r="AW15" s="4"/>
      <c r="AX15" s="5"/>
      <c r="AY15" s="6"/>
      <c r="AZ15" s="1"/>
      <c r="BA15" s="7"/>
      <c r="BB15" s="3"/>
      <c r="BC15" s="4"/>
      <c r="BD15" s="5"/>
      <c r="BE15" s="6"/>
      <c r="BF15" s="1"/>
      <c r="BG15" s="7"/>
    </row>
    <row r="16" spans="1:59">
      <c r="A16" s="31">
        <v>45945</v>
      </c>
      <c r="B16" s="3">
        <v>3</v>
      </c>
      <c r="C16" s="4">
        <v>3</v>
      </c>
      <c r="D16" s="5">
        <v>3</v>
      </c>
      <c r="E16" s="6">
        <v>3</v>
      </c>
      <c r="F16" s="1">
        <v>3</v>
      </c>
      <c r="G16" s="7">
        <v>3</v>
      </c>
      <c r="H16" s="3">
        <v>3</v>
      </c>
      <c r="I16" s="4">
        <v>3</v>
      </c>
      <c r="J16" s="5">
        <v>3</v>
      </c>
      <c r="K16" s="6">
        <v>3</v>
      </c>
      <c r="L16" s="1">
        <v>3</v>
      </c>
      <c r="M16" s="7">
        <v>3</v>
      </c>
      <c r="N16" s="3">
        <v>3</v>
      </c>
      <c r="O16" s="4">
        <v>3</v>
      </c>
      <c r="P16" s="5">
        <v>3</v>
      </c>
      <c r="Q16" s="6">
        <v>3</v>
      </c>
      <c r="R16" s="1">
        <v>3</v>
      </c>
      <c r="S16" s="7">
        <v>3</v>
      </c>
      <c r="T16" s="3">
        <v>3</v>
      </c>
      <c r="U16" s="4">
        <v>3</v>
      </c>
      <c r="V16" s="5">
        <v>3</v>
      </c>
      <c r="W16" s="6">
        <v>3</v>
      </c>
      <c r="X16" s="1">
        <v>3</v>
      </c>
      <c r="Y16" s="7">
        <v>3</v>
      </c>
      <c r="Z16" s="3">
        <v>3</v>
      </c>
      <c r="AA16" s="4">
        <v>3</v>
      </c>
      <c r="AB16" s="5">
        <v>3</v>
      </c>
      <c r="AC16" s="6">
        <v>3</v>
      </c>
      <c r="AD16" s="1">
        <v>3</v>
      </c>
      <c r="AE16" s="7">
        <v>3</v>
      </c>
      <c r="AF16" s="3">
        <v>3</v>
      </c>
      <c r="AG16" s="4">
        <v>3</v>
      </c>
      <c r="AH16" s="5">
        <v>3</v>
      </c>
      <c r="AI16" s="6">
        <v>3</v>
      </c>
      <c r="AJ16" s="1">
        <v>3</v>
      </c>
      <c r="AK16" s="7">
        <v>3</v>
      </c>
      <c r="AL16" s="3">
        <v>3</v>
      </c>
      <c r="AM16" s="5">
        <v>3</v>
      </c>
      <c r="AN16" s="6">
        <v>3</v>
      </c>
      <c r="AO16" s="7">
        <v>3</v>
      </c>
      <c r="AP16" s="3">
        <v>3</v>
      </c>
      <c r="AQ16" s="4">
        <v>3</v>
      </c>
      <c r="AR16" s="5">
        <v>3</v>
      </c>
      <c r="AS16" s="6">
        <v>3</v>
      </c>
      <c r="AT16" s="1">
        <v>3</v>
      </c>
      <c r="AU16" s="7">
        <v>3</v>
      </c>
      <c r="AV16" s="3">
        <v>3</v>
      </c>
      <c r="AW16" s="4">
        <v>3</v>
      </c>
      <c r="AX16" s="5">
        <v>3</v>
      </c>
      <c r="AY16" s="6">
        <v>3</v>
      </c>
      <c r="AZ16" s="1">
        <v>3</v>
      </c>
      <c r="BA16" s="7">
        <v>3</v>
      </c>
      <c r="BB16" s="3">
        <v>3</v>
      </c>
      <c r="BC16" s="4">
        <v>3</v>
      </c>
      <c r="BD16" s="5">
        <v>3</v>
      </c>
      <c r="BE16" s="6">
        <v>3</v>
      </c>
      <c r="BF16" s="1">
        <v>3</v>
      </c>
      <c r="BG16" s="7">
        <v>3</v>
      </c>
    </row>
    <row r="17" spans="1:59">
      <c r="A17" s="31">
        <v>45947</v>
      </c>
      <c r="B17" s="3">
        <v>3</v>
      </c>
      <c r="C17" s="4">
        <v>3</v>
      </c>
      <c r="D17" s="5">
        <v>3</v>
      </c>
      <c r="E17" s="6">
        <v>3</v>
      </c>
      <c r="F17" s="1">
        <v>3</v>
      </c>
      <c r="G17" s="7">
        <v>3</v>
      </c>
      <c r="H17" s="3">
        <v>3</v>
      </c>
      <c r="I17" s="4">
        <v>3</v>
      </c>
      <c r="J17" s="5">
        <v>3</v>
      </c>
      <c r="K17" s="6">
        <v>3</v>
      </c>
      <c r="L17" s="1">
        <v>3</v>
      </c>
      <c r="M17" s="7">
        <v>3</v>
      </c>
      <c r="N17" s="3">
        <v>3</v>
      </c>
      <c r="O17" s="4">
        <v>3</v>
      </c>
      <c r="P17" s="5">
        <v>3</v>
      </c>
      <c r="Q17" s="6">
        <v>3</v>
      </c>
      <c r="R17" s="1">
        <v>3</v>
      </c>
      <c r="S17" s="7">
        <v>3</v>
      </c>
      <c r="T17" s="3">
        <v>3</v>
      </c>
      <c r="U17" s="4">
        <v>3</v>
      </c>
      <c r="V17" s="5">
        <v>3</v>
      </c>
      <c r="W17" s="6">
        <v>3</v>
      </c>
      <c r="X17" s="1">
        <v>3</v>
      </c>
      <c r="Y17" s="7">
        <v>3</v>
      </c>
      <c r="Z17" s="3">
        <v>3</v>
      </c>
      <c r="AA17" s="4">
        <v>3</v>
      </c>
      <c r="AB17" s="5">
        <v>3</v>
      </c>
      <c r="AC17" s="6">
        <v>3</v>
      </c>
      <c r="AD17" s="1">
        <v>3</v>
      </c>
      <c r="AE17" s="7">
        <v>3</v>
      </c>
      <c r="AF17" s="3">
        <v>3</v>
      </c>
      <c r="AG17" s="4">
        <v>3</v>
      </c>
      <c r="AH17" s="5">
        <v>3</v>
      </c>
      <c r="AI17" s="6">
        <v>3</v>
      </c>
      <c r="AJ17" s="1">
        <v>3</v>
      </c>
      <c r="AK17" s="7">
        <v>3</v>
      </c>
      <c r="AL17" s="3">
        <v>3</v>
      </c>
      <c r="AM17" s="5">
        <v>3</v>
      </c>
      <c r="AN17" s="6">
        <v>3</v>
      </c>
      <c r="AO17" s="7">
        <v>3</v>
      </c>
      <c r="AP17" s="3">
        <v>3</v>
      </c>
      <c r="AQ17" s="4">
        <v>3</v>
      </c>
      <c r="AR17" s="5">
        <v>3</v>
      </c>
      <c r="AS17" s="6">
        <v>3</v>
      </c>
      <c r="AT17" s="1">
        <v>3</v>
      </c>
      <c r="AU17" s="7">
        <v>3</v>
      </c>
      <c r="AV17" s="3">
        <v>3</v>
      </c>
      <c r="AW17" s="4">
        <v>3</v>
      </c>
      <c r="AX17" s="5">
        <v>3</v>
      </c>
      <c r="AY17" s="6">
        <v>3</v>
      </c>
      <c r="AZ17" s="1">
        <v>3</v>
      </c>
      <c r="BA17" s="7">
        <v>3</v>
      </c>
      <c r="BB17" s="3">
        <v>3</v>
      </c>
      <c r="BC17" s="4">
        <v>3</v>
      </c>
      <c r="BD17" s="5">
        <v>3</v>
      </c>
      <c r="BE17" s="6">
        <v>3</v>
      </c>
      <c r="BF17" s="1">
        <v>3</v>
      </c>
      <c r="BG17" s="7">
        <v>3</v>
      </c>
    </row>
    <row r="18" spans="1:59">
      <c r="A18" s="31">
        <v>45950</v>
      </c>
      <c r="B18" s="3">
        <v>3</v>
      </c>
      <c r="C18" s="4">
        <v>3</v>
      </c>
      <c r="D18" s="5">
        <v>3</v>
      </c>
      <c r="E18" s="6">
        <v>3</v>
      </c>
      <c r="F18" s="1">
        <v>3</v>
      </c>
      <c r="G18" s="7">
        <v>3</v>
      </c>
      <c r="H18" s="3">
        <v>3</v>
      </c>
      <c r="I18" s="4">
        <v>3</v>
      </c>
      <c r="J18" s="5">
        <v>3</v>
      </c>
      <c r="K18" s="6">
        <v>3</v>
      </c>
      <c r="L18" s="1">
        <v>3</v>
      </c>
      <c r="M18" s="7">
        <v>3</v>
      </c>
      <c r="N18" s="3">
        <v>3</v>
      </c>
      <c r="O18" s="4">
        <v>3</v>
      </c>
      <c r="P18" s="5">
        <v>3</v>
      </c>
      <c r="Q18" s="6">
        <v>3</v>
      </c>
      <c r="R18" s="1" t="s">
        <v>163</v>
      </c>
      <c r="S18" s="7">
        <v>3</v>
      </c>
      <c r="T18" s="3">
        <v>3</v>
      </c>
      <c r="U18" s="4">
        <v>3</v>
      </c>
      <c r="V18" s="5">
        <v>3</v>
      </c>
      <c r="W18" s="6">
        <v>3</v>
      </c>
      <c r="X18" s="1">
        <v>3</v>
      </c>
      <c r="Y18" s="7">
        <v>3</v>
      </c>
      <c r="Z18" s="3">
        <v>3</v>
      </c>
      <c r="AA18" s="4">
        <v>3</v>
      </c>
      <c r="AB18" s="5">
        <v>3</v>
      </c>
      <c r="AC18" s="6">
        <v>3</v>
      </c>
      <c r="AD18" s="1">
        <v>3</v>
      </c>
      <c r="AE18" s="7">
        <v>3</v>
      </c>
      <c r="AF18" s="3">
        <v>3</v>
      </c>
      <c r="AG18" s="4">
        <v>3</v>
      </c>
      <c r="AH18" s="5">
        <v>3</v>
      </c>
      <c r="AI18" s="6">
        <v>3</v>
      </c>
      <c r="AJ18" s="1">
        <v>3</v>
      </c>
      <c r="AK18" s="7">
        <v>3</v>
      </c>
      <c r="AL18" s="3">
        <v>3</v>
      </c>
      <c r="AM18" s="5">
        <v>3</v>
      </c>
      <c r="AN18" s="6">
        <v>3</v>
      </c>
      <c r="AO18" s="7">
        <v>3</v>
      </c>
      <c r="AP18" s="3">
        <v>3</v>
      </c>
      <c r="AQ18" s="4">
        <v>3</v>
      </c>
      <c r="AR18" s="5">
        <v>3</v>
      </c>
      <c r="AS18" s="6">
        <v>3</v>
      </c>
      <c r="AT18" s="1">
        <v>3</v>
      </c>
      <c r="AU18" s="7">
        <v>3</v>
      </c>
      <c r="AV18" s="3">
        <v>3</v>
      </c>
      <c r="AW18" s="4">
        <v>3</v>
      </c>
      <c r="AX18" s="5">
        <v>3</v>
      </c>
      <c r="AY18" s="6">
        <v>3</v>
      </c>
      <c r="AZ18" s="1" t="s">
        <v>163</v>
      </c>
      <c r="BA18" s="7">
        <v>3</v>
      </c>
      <c r="BB18" s="3">
        <v>3</v>
      </c>
      <c r="BC18" s="4">
        <v>3</v>
      </c>
      <c r="BD18" s="5">
        <v>3</v>
      </c>
      <c r="BE18" s="6">
        <v>3</v>
      </c>
      <c r="BF18" s="1">
        <v>3</v>
      </c>
      <c r="BG18" s="7">
        <v>3</v>
      </c>
    </row>
    <row r="19" spans="1:59">
      <c r="A19" s="31">
        <v>45952</v>
      </c>
      <c r="B19" s="3">
        <v>3</v>
      </c>
      <c r="C19" s="4">
        <v>3</v>
      </c>
      <c r="D19" s="5">
        <v>3</v>
      </c>
      <c r="E19" s="6">
        <v>3</v>
      </c>
      <c r="F19" s="1">
        <v>3</v>
      </c>
      <c r="G19" s="7">
        <v>3</v>
      </c>
      <c r="H19" s="3">
        <v>3</v>
      </c>
      <c r="I19" s="4">
        <v>3</v>
      </c>
      <c r="J19" s="5">
        <v>3</v>
      </c>
      <c r="K19" s="6">
        <v>3</v>
      </c>
      <c r="L19" s="1">
        <v>3</v>
      </c>
      <c r="M19" s="7">
        <v>3</v>
      </c>
      <c r="N19" s="3">
        <v>3</v>
      </c>
      <c r="O19" s="4">
        <v>3</v>
      </c>
      <c r="P19" s="5">
        <v>3</v>
      </c>
      <c r="Q19" s="6">
        <v>3</v>
      </c>
      <c r="R19" s="1" t="s">
        <v>163</v>
      </c>
      <c r="S19" s="7">
        <v>3</v>
      </c>
      <c r="T19" s="3">
        <v>3</v>
      </c>
      <c r="U19" s="4">
        <v>3</v>
      </c>
      <c r="V19" s="5">
        <v>3</v>
      </c>
      <c r="W19" s="6">
        <v>3</v>
      </c>
      <c r="X19" s="1">
        <v>3</v>
      </c>
      <c r="Y19" s="7">
        <v>3</v>
      </c>
      <c r="Z19" s="3">
        <v>3</v>
      </c>
      <c r="AA19" s="4">
        <v>3</v>
      </c>
      <c r="AB19" s="5">
        <v>3</v>
      </c>
      <c r="AC19" s="6">
        <v>3</v>
      </c>
      <c r="AD19" s="1">
        <v>3</v>
      </c>
      <c r="AE19" s="7">
        <v>3</v>
      </c>
      <c r="AF19" s="3">
        <v>3</v>
      </c>
      <c r="AG19" s="4">
        <v>3</v>
      </c>
      <c r="AH19" s="5">
        <v>3</v>
      </c>
      <c r="AI19" s="6">
        <v>3</v>
      </c>
      <c r="AJ19" s="1">
        <v>3</v>
      </c>
      <c r="AK19" s="7">
        <v>3</v>
      </c>
      <c r="AL19" s="3">
        <v>3</v>
      </c>
      <c r="AM19" s="5">
        <v>3</v>
      </c>
      <c r="AN19" s="6">
        <v>3</v>
      </c>
      <c r="AO19" s="7">
        <v>3</v>
      </c>
      <c r="AP19" s="3">
        <v>3</v>
      </c>
      <c r="AQ19" s="4">
        <v>3</v>
      </c>
      <c r="AR19" s="5">
        <v>3</v>
      </c>
      <c r="AS19" s="6">
        <v>3</v>
      </c>
      <c r="AT19" s="1">
        <v>3</v>
      </c>
      <c r="AU19" s="7">
        <v>3</v>
      </c>
      <c r="AV19" s="3">
        <v>3</v>
      </c>
      <c r="AW19" s="4">
        <v>3</v>
      </c>
      <c r="AX19" s="5">
        <v>3</v>
      </c>
      <c r="AY19" s="6">
        <v>3</v>
      </c>
      <c r="AZ19" s="1" t="s">
        <v>163</v>
      </c>
      <c r="BA19" s="7">
        <v>3</v>
      </c>
      <c r="BB19" s="3">
        <v>3</v>
      </c>
      <c r="BC19" s="4">
        <v>3</v>
      </c>
      <c r="BD19" s="5">
        <v>3</v>
      </c>
      <c r="BE19" s="6">
        <v>3</v>
      </c>
      <c r="BF19" s="1">
        <v>3</v>
      </c>
      <c r="BG19" s="7">
        <v>3</v>
      </c>
    </row>
    <row r="20" spans="1:59">
      <c r="A20" s="31">
        <v>45954</v>
      </c>
      <c r="B20" s="3">
        <v>3</v>
      </c>
      <c r="C20" s="4">
        <v>3</v>
      </c>
      <c r="D20" s="5">
        <v>3</v>
      </c>
      <c r="E20" s="6">
        <v>3</v>
      </c>
      <c r="F20" s="1">
        <v>3</v>
      </c>
      <c r="G20" s="7">
        <v>3</v>
      </c>
      <c r="H20" s="3">
        <v>3</v>
      </c>
      <c r="I20" s="4">
        <v>3</v>
      </c>
      <c r="J20" s="5">
        <v>3</v>
      </c>
      <c r="K20" s="6">
        <v>3</v>
      </c>
      <c r="L20" s="1">
        <v>3</v>
      </c>
      <c r="M20" s="7">
        <v>3</v>
      </c>
      <c r="N20" s="3">
        <v>3</v>
      </c>
      <c r="O20" s="4">
        <v>3</v>
      </c>
      <c r="P20" s="5">
        <v>3</v>
      </c>
      <c r="Q20" s="6">
        <v>3</v>
      </c>
      <c r="R20" s="1" t="s">
        <v>163</v>
      </c>
      <c r="S20" s="7">
        <v>3</v>
      </c>
      <c r="T20" s="3">
        <v>3</v>
      </c>
      <c r="U20" s="4">
        <v>3</v>
      </c>
      <c r="V20" s="5">
        <v>3</v>
      </c>
      <c r="W20" s="6">
        <v>3</v>
      </c>
      <c r="X20" s="1">
        <v>3</v>
      </c>
      <c r="Y20" s="7">
        <v>3</v>
      </c>
      <c r="Z20" s="3">
        <v>3</v>
      </c>
      <c r="AA20" s="4">
        <v>3</v>
      </c>
      <c r="AB20" s="5">
        <v>3</v>
      </c>
      <c r="AC20" s="6">
        <v>3</v>
      </c>
      <c r="AD20" s="1">
        <v>3</v>
      </c>
      <c r="AE20" s="7">
        <v>3</v>
      </c>
      <c r="AF20" s="3">
        <v>3</v>
      </c>
      <c r="AG20" s="4">
        <v>3</v>
      </c>
      <c r="AH20" s="5">
        <v>3</v>
      </c>
      <c r="AI20" s="6">
        <v>3</v>
      </c>
      <c r="AJ20" s="1">
        <v>3</v>
      </c>
      <c r="AK20" s="7">
        <v>3</v>
      </c>
      <c r="AL20" s="3">
        <v>3</v>
      </c>
      <c r="AM20" s="5">
        <v>3</v>
      </c>
      <c r="AN20" s="6">
        <v>3</v>
      </c>
      <c r="AO20" s="7">
        <v>3</v>
      </c>
      <c r="AP20" s="3">
        <v>3</v>
      </c>
      <c r="AQ20" s="4">
        <v>3</v>
      </c>
      <c r="AR20" s="5">
        <v>3</v>
      </c>
      <c r="AS20" s="6">
        <v>3</v>
      </c>
      <c r="AT20" s="1">
        <v>3</v>
      </c>
      <c r="AU20" s="7">
        <v>3</v>
      </c>
      <c r="AV20" s="3">
        <v>3</v>
      </c>
      <c r="AW20" s="4">
        <v>3</v>
      </c>
      <c r="AX20" s="5">
        <v>3</v>
      </c>
      <c r="AY20" s="6">
        <v>3</v>
      </c>
      <c r="AZ20" s="1" t="s">
        <v>163</v>
      </c>
      <c r="BA20" s="7">
        <v>3</v>
      </c>
      <c r="BB20" s="3">
        <v>3</v>
      </c>
      <c r="BC20" s="4">
        <v>3</v>
      </c>
      <c r="BD20" s="5">
        <v>3</v>
      </c>
      <c r="BE20" s="6">
        <v>3</v>
      </c>
      <c r="BF20" s="1">
        <v>3</v>
      </c>
      <c r="BG20" s="7">
        <v>3</v>
      </c>
    </row>
    <row r="21" spans="1:59">
      <c r="A21" s="31">
        <v>45957</v>
      </c>
      <c r="B21" s="3">
        <v>3</v>
      </c>
      <c r="C21" s="4">
        <v>3</v>
      </c>
      <c r="D21" s="5">
        <v>3</v>
      </c>
      <c r="E21" s="6">
        <v>3</v>
      </c>
      <c r="F21" s="1">
        <v>3</v>
      </c>
      <c r="G21" s="7">
        <v>3</v>
      </c>
      <c r="H21" s="3">
        <v>3</v>
      </c>
      <c r="I21" s="4">
        <v>3</v>
      </c>
      <c r="J21" s="5">
        <v>3</v>
      </c>
      <c r="K21" s="6">
        <v>3</v>
      </c>
      <c r="L21" s="1">
        <v>3</v>
      </c>
      <c r="M21" s="7">
        <v>3</v>
      </c>
      <c r="N21" s="3">
        <v>3</v>
      </c>
      <c r="O21" s="4">
        <v>3</v>
      </c>
      <c r="P21" s="5">
        <v>3</v>
      </c>
      <c r="Q21" s="6">
        <v>3</v>
      </c>
      <c r="R21" s="1" t="s">
        <v>163</v>
      </c>
      <c r="S21" s="7">
        <v>3</v>
      </c>
      <c r="T21" s="3">
        <v>3</v>
      </c>
      <c r="U21" s="4">
        <v>3</v>
      </c>
      <c r="V21" s="5">
        <v>3</v>
      </c>
      <c r="W21" s="6">
        <v>3</v>
      </c>
      <c r="X21" s="1">
        <v>3</v>
      </c>
      <c r="Y21" s="7">
        <v>3</v>
      </c>
      <c r="Z21" s="3">
        <v>3</v>
      </c>
      <c r="AA21" s="4">
        <v>3</v>
      </c>
      <c r="AB21" s="5">
        <v>3</v>
      </c>
      <c r="AC21" s="6">
        <v>3</v>
      </c>
      <c r="AD21" s="1">
        <v>3</v>
      </c>
      <c r="AE21" s="7">
        <v>3</v>
      </c>
      <c r="AF21" s="3">
        <v>3</v>
      </c>
      <c r="AG21" s="4">
        <v>3</v>
      </c>
      <c r="AH21" s="5">
        <v>3</v>
      </c>
      <c r="AI21" s="6">
        <v>3</v>
      </c>
      <c r="AJ21" s="1">
        <v>3</v>
      </c>
      <c r="AK21" s="7">
        <v>3</v>
      </c>
      <c r="AL21" s="3">
        <v>3</v>
      </c>
      <c r="AM21" s="5">
        <v>3</v>
      </c>
      <c r="AN21" s="6">
        <v>3</v>
      </c>
      <c r="AO21" s="7">
        <v>3</v>
      </c>
      <c r="AP21" s="3">
        <v>3</v>
      </c>
      <c r="AQ21" s="4">
        <v>3</v>
      </c>
      <c r="AR21" s="5">
        <v>3</v>
      </c>
      <c r="AS21" s="6">
        <v>3</v>
      </c>
      <c r="AT21" s="1">
        <v>3</v>
      </c>
      <c r="AU21" s="7">
        <v>3</v>
      </c>
      <c r="AV21" s="3">
        <v>3</v>
      </c>
      <c r="AW21" s="4">
        <v>3</v>
      </c>
      <c r="AX21" s="5">
        <v>3</v>
      </c>
      <c r="AY21" s="6">
        <v>3</v>
      </c>
      <c r="AZ21" s="1" t="s">
        <v>163</v>
      </c>
      <c r="BA21" s="7">
        <v>3</v>
      </c>
      <c r="BB21" s="3">
        <v>3</v>
      </c>
      <c r="BC21" s="4">
        <v>3</v>
      </c>
      <c r="BD21" s="5">
        <v>3</v>
      </c>
      <c r="BE21" s="6">
        <v>3</v>
      </c>
      <c r="BF21" s="1">
        <v>3</v>
      </c>
      <c r="BG21" s="7">
        <v>3</v>
      </c>
    </row>
    <row r="22" spans="1:59">
      <c r="A22" s="31">
        <v>45959</v>
      </c>
      <c r="B22" s="3">
        <v>3</v>
      </c>
      <c r="C22" s="4">
        <v>3</v>
      </c>
      <c r="D22" s="5">
        <v>3</v>
      </c>
      <c r="E22" s="6">
        <v>3</v>
      </c>
      <c r="F22" s="1">
        <v>3</v>
      </c>
      <c r="G22" s="7">
        <v>3</v>
      </c>
      <c r="H22" s="3">
        <v>3</v>
      </c>
      <c r="I22" s="4">
        <v>3</v>
      </c>
      <c r="J22" s="5">
        <v>3</v>
      </c>
      <c r="K22" s="6">
        <v>3</v>
      </c>
      <c r="L22" s="1">
        <v>3</v>
      </c>
      <c r="M22" s="7">
        <v>3</v>
      </c>
      <c r="N22" s="3">
        <v>3</v>
      </c>
      <c r="O22" s="4">
        <v>3</v>
      </c>
      <c r="P22" s="5">
        <v>3</v>
      </c>
      <c r="Q22" s="6">
        <v>3</v>
      </c>
      <c r="R22" s="1" t="s">
        <v>163</v>
      </c>
      <c r="S22" s="7">
        <v>3</v>
      </c>
      <c r="T22" s="3">
        <v>3</v>
      </c>
      <c r="U22" s="4">
        <v>3</v>
      </c>
      <c r="V22" s="5">
        <v>3</v>
      </c>
      <c r="W22" s="6">
        <v>3</v>
      </c>
      <c r="X22" s="1">
        <v>3</v>
      </c>
      <c r="Y22" s="7">
        <v>3</v>
      </c>
      <c r="Z22" s="3">
        <v>3</v>
      </c>
      <c r="AA22" s="4">
        <v>3</v>
      </c>
      <c r="AB22" s="5">
        <v>3</v>
      </c>
      <c r="AC22" s="6">
        <v>3</v>
      </c>
      <c r="AD22" s="1">
        <v>3</v>
      </c>
      <c r="AE22" s="7">
        <v>3</v>
      </c>
      <c r="AF22" s="3">
        <v>3</v>
      </c>
      <c r="AG22" s="4">
        <v>3</v>
      </c>
      <c r="AH22" s="5">
        <v>3</v>
      </c>
      <c r="AI22" s="6">
        <v>3</v>
      </c>
      <c r="AJ22" s="1">
        <v>3</v>
      </c>
      <c r="AK22" s="7">
        <v>3</v>
      </c>
      <c r="AL22" s="3">
        <v>3</v>
      </c>
      <c r="AM22" s="5">
        <v>3</v>
      </c>
      <c r="AN22" s="6">
        <v>3</v>
      </c>
      <c r="AO22" s="7">
        <v>3</v>
      </c>
      <c r="AP22" s="3">
        <v>3</v>
      </c>
      <c r="AQ22" s="4">
        <v>3</v>
      </c>
      <c r="AR22" s="5">
        <v>3</v>
      </c>
      <c r="AS22" s="6">
        <v>3</v>
      </c>
      <c r="AT22" s="1">
        <v>3</v>
      </c>
      <c r="AU22" s="7">
        <v>3</v>
      </c>
      <c r="AV22" s="3">
        <v>3</v>
      </c>
      <c r="AW22" s="4">
        <v>3</v>
      </c>
      <c r="AX22" s="5">
        <v>3</v>
      </c>
      <c r="AY22" s="6">
        <v>3</v>
      </c>
      <c r="AZ22" s="1" t="s">
        <v>163</v>
      </c>
      <c r="BA22" s="7">
        <v>3</v>
      </c>
      <c r="BB22" s="3">
        <v>3</v>
      </c>
      <c r="BC22" s="4">
        <v>3</v>
      </c>
      <c r="BD22" s="5">
        <v>3</v>
      </c>
      <c r="BE22" s="6">
        <v>3</v>
      </c>
      <c r="BF22" s="1">
        <v>3</v>
      </c>
      <c r="BG22" s="7">
        <v>3</v>
      </c>
    </row>
    <row r="23" spans="1:59">
      <c r="A23" s="31">
        <v>45961</v>
      </c>
      <c r="B23" s="3">
        <v>3</v>
      </c>
      <c r="C23" s="4">
        <v>3</v>
      </c>
      <c r="D23" s="5">
        <v>3</v>
      </c>
      <c r="E23" s="6">
        <v>3</v>
      </c>
      <c r="F23" s="1">
        <v>2.75</v>
      </c>
      <c r="G23" s="7">
        <v>3</v>
      </c>
      <c r="H23" s="3">
        <v>3</v>
      </c>
      <c r="I23" s="4">
        <v>3</v>
      </c>
      <c r="J23" s="5">
        <v>3</v>
      </c>
      <c r="K23" s="6">
        <v>3</v>
      </c>
      <c r="L23" s="1">
        <v>3</v>
      </c>
      <c r="M23" s="7">
        <v>3</v>
      </c>
      <c r="N23" s="3">
        <v>3</v>
      </c>
      <c r="O23" s="4">
        <v>3</v>
      </c>
      <c r="P23" s="5">
        <v>3</v>
      </c>
      <c r="Q23" s="6">
        <v>3</v>
      </c>
      <c r="R23" s="1" t="s">
        <v>163</v>
      </c>
      <c r="S23" s="7">
        <v>3</v>
      </c>
      <c r="T23" s="3">
        <v>3</v>
      </c>
      <c r="U23" s="4">
        <v>3</v>
      </c>
      <c r="V23" s="5">
        <v>3</v>
      </c>
      <c r="W23" s="6">
        <v>3</v>
      </c>
      <c r="X23" s="1">
        <v>2.75</v>
      </c>
      <c r="Y23" s="7">
        <v>3</v>
      </c>
      <c r="Z23" s="3">
        <v>3</v>
      </c>
      <c r="AA23" s="4">
        <v>3</v>
      </c>
      <c r="AB23" s="5">
        <v>3</v>
      </c>
      <c r="AC23" s="6">
        <v>3</v>
      </c>
      <c r="AD23" s="1">
        <v>3</v>
      </c>
      <c r="AE23" s="7">
        <v>3</v>
      </c>
      <c r="AF23" s="3">
        <v>3</v>
      </c>
      <c r="AG23" s="4">
        <v>3</v>
      </c>
      <c r="AH23" s="5">
        <v>3</v>
      </c>
      <c r="AI23" s="6">
        <v>3</v>
      </c>
      <c r="AJ23" s="1">
        <v>3</v>
      </c>
      <c r="AK23" s="7">
        <v>3</v>
      </c>
      <c r="AL23" s="3">
        <v>3</v>
      </c>
      <c r="AM23" s="5">
        <v>3</v>
      </c>
      <c r="AN23" s="6">
        <v>3</v>
      </c>
      <c r="AO23" s="7">
        <v>2.75</v>
      </c>
      <c r="AP23" s="3">
        <v>3</v>
      </c>
      <c r="AQ23" s="4">
        <v>3</v>
      </c>
      <c r="AR23" s="5">
        <v>3</v>
      </c>
      <c r="AS23" s="6">
        <v>2.75</v>
      </c>
      <c r="AT23" s="1">
        <v>3</v>
      </c>
      <c r="AU23" s="7">
        <v>3</v>
      </c>
      <c r="AV23" s="3">
        <v>3</v>
      </c>
      <c r="AW23" s="4">
        <v>3</v>
      </c>
      <c r="AX23" s="5">
        <v>3</v>
      </c>
      <c r="AY23" s="6">
        <v>3</v>
      </c>
      <c r="AZ23" s="1" t="s">
        <v>163</v>
      </c>
      <c r="BA23" s="7">
        <v>3</v>
      </c>
      <c r="BB23" s="3">
        <v>3</v>
      </c>
      <c r="BC23" s="4">
        <v>3</v>
      </c>
      <c r="BD23" s="5">
        <v>3</v>
      </c>
      <c r="BE23" s="6">
        <v>3</v>
      </c>
      <c r="BF23" s="1">
        <v>3</v>
      </c>
      <c r="BG23" s="7">
        <v>3</v>
      </c>
    </row>
    <row r="24" spans="1:59">
      <c r="A24" s="31">
        <v>45964</v>
      </c>
      <c r="B24" s="3">
        <v>3</v>
      </c>
      <c r="C24" s="4">
        <v>3</v>
      </c>
      <c r="D24" s="5">
        <v>2.75</v>
      </c>
      <c r="E24" s="6">
        <v>3</v>
      </c>
      <c r="F24" s="1">
        <v>2</v>
      </c>
      <c r="G24" s="7">
        <v>3</v>
      </c>
      <c r="H24" s="3">
        <v>3</v>
      </c>
      <c r="I24" s="4">
        <v>3</v>
      </c>
      <c r="J24" s="5">
        <v>3</v>
      </c>
      <c r="K24" s="6">
        <v>3</v>
      </c>
      <c r="L24" s="1">
        <v>3</v>
      </c>
      <c r="M24" s="7">
        <v>3</v>
      </c>
      <c r="N24" s="3">
        <v>3</v>
      </c>
      <c r="O24" s="4">
        <v>3</v>
      </c>
      <c r="P24" s="5">
        <v>3</v>
      </c>
      <c r="Q24" s="6">
        <v>3</v>
      </c>
      <c r="R24" s="1" t="s">
        <v>163</v>
      </c>
      <c r="S24" s="7">
        <v>3</v>
      </c>
      <c r="T24" s="3">
        <v>3</v>
      </c>
      <c r="U24" s="4">
        <v>3</v>
      </c>
      <c r="V24" s="5">
        <v>3</v>
      </c>
      <c r="W24" s="6">
        <v>3</v>
      </c>
      <c r="X24" s="1">
        <v>3</v>
      </c>
      <c r="Y24" s="7">
        <v>3</v>
      </c>
      <c r="Z24" s="3">
        <v>3</v>
      </c>
      <c r="AA24" s="4">
        <v>3</v>
      </c>
      <c r="AB24" s="5">
        <v>3</v>
      </c>
      <c r="AC24" s="6">
        <v>3</v>
      </c>
      <c r="AD24" s="1">
        <v>3</v>
      </c>
      <c r="AE24" s="7">
        <v>3</v>
      </c>
      <c r="AF24" s="3">
        <v>3</v>
      </c>
      <c r="AG24" s="4">
        <v>3</v>
      </c>
      <c r="AH24" s="5">
        <v>3</v>
      </c>
      <c r="AI24" s="6">
        <v>3</v>
      </c>
      <c r="AJ24" s="1">
        <v>3</v>
      </c>
      <c r="AK24" s="7">
        <v>3</v>
      </c>
      <c r="AL24" s="3">
        <v>3</v>
      </c>
      <c r="AM24" s="5">
        <v>3</v>
      </c>
      <c r="AN24" s="6">
        <v>2.5</v>
      </c>
      <c r="AO24" s="7">
        <v>3</v>
      </c>
      <c r="AP24" s="3">
        <v>3</v>
      </c>
      <c r="AQ24" s="4">
        <v>3</v>
      </c>
      <c r="AR24" s="5">
        <v>3</v>
      </c>
      <c r="AS24" s="6">
        <v>3</v>
      </c>
      <c r="AT24" s="1">
        <v>3</v>
      </c>
      <c r="AU24" s="7">
        <v>3</v>
      </c>
      <c r="AV24" s="3">
        <v>3</v>
      </c>
      <c r="AW24" s="4">
        <v>3</v>
      </c>
      <c r="AX24" s="5">
        <v>3</v>
      </c>
      <c r="AY24" s="6">
        <v>3</v>
      </c>
      <c r="AZ24" s="1" t="s">
        <v>163</v>
      </c>
      <c r="BA24" s="7">
        <v>3</v>
      </c>
      <c r="BB24" s="3">
        <v>3</v>
      </c>
      <c r="BC24" s="4">
        <v>3</v>
      </c>
      <c r="BD24" s="5">
        <v>3</v>
      </c>
      <c r="BE24" s="6">
        <v>3</v>
      </c>
      <c r="BF24" s="1">
        <v>3</v>
      </c>
      <c r="BG24" s="7">
        <v>3</v>
      </c>
    </row>
    <row r="25" spans="1:59">
      <c r="A25" s="31">
        <v>45965</v>
      </c>
      <c r="B25" s="3">
        <v>3</v>
      </c>
      <c r="C25" s="4" t="s">
        <v>163</v>
      </c>
      <c r="D25" s="5">
        <v>2.25</v>
      </c>
      <c r="E25" s="6">
        <v>3</v>
      </c>
      <c r="F25" s="1" t="s">
        <v>163</v>
      </c>
      <c r="G25" s="7">
        <v>2.75</v>
      </c>
      <c r="H25" s="3">
        <v>3</v>
      </c>
      <c r="I25" s="4">
        <v>3</v>
      </c>
      <c r="J25" s="5">
        <v>2.75</v>
      </c>
      <c r="K25" s="6">
        <v>3</v>
      </c>
      <c r="L25" s="1">
        <v>3</v>
      </c>
      <c r="M25" s="7">
        <v>3</v>
      </c>
      <c r="N25" s="3">
        <v>3</v>
      </c>
      <c r="O25" s="4">
        <v>3</v>
      </c>
      <c r="P25" s="5">
        <v>3</v>
      </c>
      <c r="Q25" s="6">
        <v>2.75</v>
      </c>
      <c r="R25" s="1" t="s">
        <v>163</v>
      </c>
      <c r="S25" s="7">
        <v>2.75</v>
      </c>
      <c r="T25" s="3">
        <v>3</v>
      </c>
      <c r="U25" s="4">
        <v>3</v>
      </c>
      <c r="V25" s="5">
        <v>3</v>
      </c>
      <c r="W25" s="6">
        <v>3</v>
      </c>
      <c r="X25" s="1" t="s">
        <v>163</v>
      </c>
      <c r="Y25" s="7">
        <v>2.75</v>
      </c>
      <c r="Z25" s="3">
        <v>3</v>
      </c>
      <c r="AA25" s="4">
        <v>3</v>
      </c>
      <c r="AB25" s="5">
        <v>3</v>
      </c>
      <c r="AC25" s="6">
        <v>3</v>
      </c>
      <c r="AD25" s="1">
        <v>2.75</v>
      </c>
      <c r="AE25" s="7">
        <v>3</v>
      </c>
      <c r="AF25" s="3">
        <v>2.75</v>
      </c>
      <c r="AG25" s="4">
        <v>3</v>
      </c>
      <c r="AH25" s="5">
        <v>3</v>
      </c>
      <c r="AI25" s="6">
        <v>3</v>
      </c>
      <c r="AJ25" s="1">
        <v>3</v>
      </c>
      <c r="AK25" s="7">
        <v>3</v>
      </c>
      <c r="AL25" s="3">
        <v>3</v>
      </c>
      <c r="AM25" s="5" t="s">
        <v>163</v>
      </c>
      <c r="AN25" s="6" t="s">
        <v>163</v>
      </c>
      <c r="AO25" s="7">
        <v>3</v>
      </c>
      <c r="AP25" s="3">
        <v>3</v>
      </c>
      <c r="AQ25" s="4">
        <v>3</v>
      </c>
      <c r="AR25" s="5">
        <v>3</v>
      </c>
      <c r="AS25" s="6">
        <v>3</v>
      </c>
      <c r="AT25" s="1">
        <v>3</v>
      </c>
      <c r="AU25" s="7">
        <v>3</v>
      </c>
      <c r="AV25" s="3">
        <v>3</v>
      </c>
      <c r="AW25" s="4">
        <v>3</v>
      </c>
      <c r="AX25" s="5">
        <v>3</v>
      </c>
      <c r="AY25" s="6">
        <v>3</v>
      </c>
      <c r="AZ25" s="1" t="s">
        <v>163</v>
      </c>
      <c r="BA25" s="7">
        <v>3</v>
      </c>
      <c r="BB25" s="3">
        <v>3</v>
      </c>
      <c r="BC25" s="4">
        <v>3</v>
      </c>
      <c r="BD25" s="5">
        <v>3</v>
      </c>
      <c r="BE25" s="6">
        <v>3</v>
      </c>
      <c r="BF25" s="1">
        <v>3</v>
      </c>
      <c r="BG25" s="7">
        <v>3</v>
      </c>
    </row>
    <row r="26" spans="1:59">
      <c r="A26" s="31">
        <v>45966</v>
      </c>
      <c r="B26" s="3">
        <v>3</v>
      </c>
      <c r="C26" s="4" t="s">
        <v>163</v>
      </c>
      <c r="D26" s="5">
        <v>2</v>
      </c>
      <c r="E26" s="6">
        <v>2.75</v>
      </c>
      <c r="F26" s="1" t="s">
        <v>163</v>
      </c>
      <c r="G26" s="7">
        <v>2.75</v>
      </c>
      <c r="H26" s="3">
        <v>2.75</v>
      </c>
      <c r="I26" s="4">
        <v>3</v>
      </c>
      <c r="J26" s="5">
        <v>2.75</v>
      </c>
      <c r="K26" s="6">
        <v>3</v>
      </c>
      <c r="L26" s="1">
        <v>3</v>
      </c>
      <c r="M26" s="7">
        <v>2.75</v>
      </c>
      <c r="N26" s="3">
        <v>3</v>
      </c>
      <c r="O26" s="4">
        <v>3</v>
      </c>
      <c r="P26" s="5">
        <v>3</v>
      </c>
      <c r="Q26" s="6">
        <v>2.75</v>
      </c>
      <c r="R26" s="1" t="s">
        <v>163</v>
      </c>
      <c r="S26" s="7">
        <v>2.75</v>
      </c>
      <c r="T26" s="3">
        <v>3</v>
      </c>
      <c r="U26" s="4">
        <v>3</v>
      </c>
      <c r="V26" s="5" t="s">
        <v>163</v>
      </c>
      <c r="W26" s="6">
        <v>3</v>
      </c>
      <c r="X26" s="1" t="s">
        <v>163</v>
      </c>
      <c r="Y26" s="7">
        <v>2.75</v>
      </c>
      <c r="Z26" s="3">
        <v>3</v>
      </c>
      <c r="AA26" s="4">
        <v>3</v>
      </c>
      <c r="AB26" s="5">
        <v>3</v>
      </c>
      <c r="AC26" s="6">
        <v>3</v>
      </c>
      <c r="AD26" s="1">
        <v>2.75</v>
      </c>
      <c r="AE26" s="7">
        <v>3</v>
      </c>
      <c r="AF26" s="3">
        <v>2.75</v>
      </c>
      <c r="AG26" s="4">
        <v>3</v>
      </c>
      <c r="AH26" s="5">
        <v>3</v>
      </c>
      <c r="AI26" s="6">
        <v>2.75</v>
      </c>
      <c r="AJ26" s="1">
        <v>2.75</v>
      </c>
      <c r="AK26" s="7">
        <v>3</v>
      </c>
      <c r="AL26" s="3">
        <v>2.75</v>
      </c>
      <c r="AM26" s="5" t="s">
        <v>163</v>
      </c>
      <c r="AN26" s="6" t="s">
        <v>163</v>
      </c>
      <c r="AO26" s="7">
        <v>3</v>
      </c>
      <c r="AP26" s="3">
        <v>3</v>
      </c>
      <c r="AQ26" s="4">
        <v>3</v>
      </c>
      <c r="AR26" s="5">
        <v>3</v>
      </c>
      <c r="AS26" s="6">
        <v>2.75</v>
      </c>
      <c r="AT26" s="1">
        <v>3</v>
      </c>
      <c r="AU26" s="7">
        <v>3</v>
      </c>
      <c r="AV26" s="3">
        <v>3</v>
      </c>
      <c r="AW26" s="4">
        <v>3</v>
      </c>
      <c r="AX26" s="5">
        <v>3</v>
      </c>
      <c r="AY26" s="6">
        <v>3</v>
      </c>
      <c r="AZ26" s="1" t="s">
        <v>163</v>
      </c>
      <c r="BA26" s="7">
        <v>3</v>
      </c>
      <c r="BB26" s="3">
        <v>3</v>
      </c>
      <c r="BC26" s="4">
        <v>3</v>
      </c>
      <c r="BD26" s="5">
        <v>3</v>
      </c>
      <c r="BE26" s="6">
        <v>3</v>
      </c>
      <c r="BF26" s="1">
        <v>3</v>
      </c>
      <c r="BG26" s="7">
        <v>3</v>
      </c>
    </row>
    <row r="27" spans="1:59">
      <c r="A27" s="31">
        <v>45967</v>
      </c>
      <c r="B27" s="3">
        <v>3</v>
      </c>
      <c r="C27" s="4" t="s">
        <v>163</v>
      </c>
      <c r="D27" s="5" t="s">
        <v>163</v>
      </c>
      <c r="E27" s="6">
        <v>2.75</v>
      </c>
      <c r="F27" s="1" t="s">
        <v>163</v>
      </c>
      <c r="G27" s="7">
        <v>2.75</v>
      </c>
      <c r="H27" s="3">
        <v>2.75</v>
      </c>
      <c r="I27" s="4">
        <v>2.75</v>
      </c>
      <c r="J27" s="5">
        <v>2.75</v>
      </c>
      <c r="K27" s="6">
        <v>3</v>
      </c>
      <c r="L27" s="1">
        <v>3</v>
      </c>
      <c r="M27" s="7">
        <v>2.75</v>
      </c>
      <c r="N27" s="3">
        <v>2.5</v>
      </c>
      <c r="O27" s="4">
        <v>3</v>
      </c>
      <c r="P27" s="5" t="s">
        <v>163</v>
      </c>
      <c r="Q27" s="6">
        <v>2.75</v>
      </c>
      <c r="R27" s="1" t="s">
        <v>163</v>
      </c>
      <c r="S27" s="7" t="s">
        <v>163</v>
      </c>
      <c r="T27" s="3" t="s">
        <v>163</v>
      </c>
      <c r="U27" s="4" t="s">
        <v>163</v>
      </c>
      <c r="V27" s="5" t="s">
        <v>163</v>
      </c>
      <c r="W27" s="6">
        <v>2.75</v>
      </c>
      <c r="X27" s="1" t="s">
        <v>163</v>
      </c>
      <c r="Y27" s="7">
        <v>2.75</v>
      </c>
      <c r="Z27" s="3">
        <v>2.75</v>
      </c>
      <c r="AA27" s="4" t="s">
        <v>163</v>
      </c>
      <c r="AB27" s="5">
        <v>3</v>
      </c>
      <c r="AC27" s="6">
        <v>3</v>
      </c>
      <c r="AD27" s="1" t="s">
        <v>163</v>
      </c>
      <c r="AE27" s="7">
        <v>3</v>
      </c>
      <c r="AF27" s="3" t="s">
        <v>163</v>
      </c>
      <c r="AG27" s="4">
        <v>2.75</v>
      </c>
      <c r="AH27" s="5">
        <v>2.75</v>
      </c>
      <c r="AI27" s="6">
        <v>2.75</v>
      </c>
      <c r="AJ27" s="1">
        <v>2.75</v>
      </c>
      <c r="AK27" s="7">
        <v>3</v>
      </c>
      <c r="AL27" s="3" t="s">
        <v>163</v>
      </c>
      <c r="AM27" s="5" t="s">
        <v>163</v>
      </c>
      <c r="AN27" s="6" t="s">
        <v>163</v>
      </c>
      <c r="AO27" s="7">
        <v>2.75</v>
      </c>
      <c r="AP27" s="3">
        <v>2.75</v>
      </c>
      <c r="AQ27" s="4">
        <v>3</v>
      </c>
      <c r="AR27" s="5">
        <v>3</v>
      </c>
      <c r="AS27" s="6">
        <v>2.75</v>
      </c>
      <c r="AT27" s="1">
        <v>3</v>
      </c>
      <c r="AU27" s="7">
        <v>3</v>
      </c>
      <c r="AV27" s="3">
        <v>3</v>
      </c>
      <c r="AW27" s="4">
        <v>3</v>
      </c>
      <c r="AX27" s="5">
        <v>3</v>
      </c>
      <c r="AY27" s="6">
        <v>2.75</v>
      </c>
      <c r="AZ27" s="1" t="s">
        <v>163</v>
      </c>
      <c r="BA27" s="7">
        <v>3</v>
      </c>
      <c r="BB27" s="3">
        <v>3</v>
      </c>
      <c r="BC27" s="4">
        <v>3</v>
      </c>
      <c r="BD27" s="5">
        <v>3</v>
      </c>
      <c r="BE27" s="6">
        <v>3</v>
      </c>
      <c r="BF27" s="1">
        <v>3</v>
      </c>
      <c r="BG27" s="7">
        <v>3</v>
      </c>
    </row>
    <row r="28" spans="1:59">
      <c r="A28" s="31">
        <v>45968</v>
      </c>
      <c r="B28" s="3">
        <v>3</v>
      </c>
      <c r="C28" s="4" t="s">
        <v>163</v>
      </c>
      <c r="D28" s="5" t="s">
        <v>163</v>
      </c>
      <c r="E28" s="6">
        <v>2.75</v>
      </c>
      <c r="F28" s="1" t="s">
        <v>163</v>
      </c>
      <c r="G28" s="7">
        <v>2.75</v>
      </c>
      <c r="H28" s="3">
        <v>2.75</v>
      </c>
      <c r="I28" s="4">
        <v>2.75</v>
      </c>
      <c r="J28" s="5">
        <v>2.75</v>
      </c>
      <c r="K28" s="6">
        <v>3</v>
      </c>
      <c r="L28" s="1">
        <v>2.75</v>
      </c>
      <c r="M28" s="7">
        <v>2.75</v>
      </c>
      <c r="N28" s="3">
        <v>2.25</v>
      </c>
      <c r="O28" s="4">
        <v>2.75</v>
      </c>
      <c r="P28" s="5" t="s">
        <v>163</v>
      </c>
      <c r="Q28" s="6">
        <v>2.75</v>
      </c>
      <c r="R28" s="1" t="s">
        <v>163</v>
      </c>
      <c r="S28" s="7" t="s">
        <v>163</v>
      </c>
      <c r="T28" s="3" t="s">
        <v>163</v>
      </c>
      <c r="U28" s="4" t="s">
        <v>163</v>
      </c>
      <c r="V28" s="5" t="s">
        <v>163</v>
      </c>
      <c r="W28" s="6">
        <v>2.75</v>
      </c>
      <c r="X28" s="1" t="s">
        <v>163</v>
      </c>
      <c r="Y28" s="7">
        <v>2.75</v>
      </c>
      <c r="Z28" s="3">
        <v>2.75</v>
      </c>
      <c r="AA28" s="4" t="s">
        <v>163</v>
      </c>
      <c r="AB28" s="5">
        <v>3</v>
      </c>
      <c r="AC28" s="6">
        <v>3</v>
      </c>
      <c r="AD28" s="1" t="s">
        <v>163</v>
      </c>
      <c r="AE28" s="7">
        <v>3</v>
      </c>
      <c r="AF28" s="3" t="s">
        <v>163</v>
      </c>
      <c r="AG28" s="4">
        <v>2.75</v>
      </c>
      <c r="AH28" s="5">
        <v>2.75</v>
      </c>
      <c r="AI28" s="6">
        <v>3</v>
      </c>
      <c r="AJ28" s="1">
        <v>2.75</v>
      </c>
      <c r="AK28" s="7">
        <v>3</v>
      </c>
      <c r="AL28" s="3" t="s">
        <v>163</v>
      </c>
      <c r="AM28" s="5" t="s">
        <v>163</v>
      </c>
      <c r="AN28" s="6" t="s">
        <v>163</v>
      </c>
      <c r="AO28" s="7">
        <v>2.75</v>
      </c>
      <c r="AP28" s="3">
        <v>2.75</v>
      </c>
      <c r="AQ28" s="4">
        <v>3</v>
      </c>
      <c r="AR28" s="5">
        <v>3</v>
      </c>
      <c r="AS28" s="6">
        <v>2.75</v>
      </c>
      <c r="AT28" s="1">
        <v>3</v>
      </c>
      <c r="AU28" s="7">
        <v>3</v>
      </c>
      <c r="AV28" s="3">
        <v>2.75</v>
      </c>
      <c r="AW28" s="4">
        <v>3</v>
      </c>
      <c r="AX28" s="5">
        <v>3</v>
      </c>
      <c r="AY28" s="6">
        <v>2.75</v>
      </c>
      <c r="AZ28" s="1" t="s">
        <v>163</v>
      </c>
      <c r="BA28" s="7">
        <v>3</v>
      </c>
      <c r="BB28" s="3">
        <v>3</v>
      </c>
      <c r="BC28" s="4">
        <v>3</v>
      </c>
      <c r="BD28" s="5">
        <v>3</v>
      </c>
      <c r="BE28" s="6">
        <v>3</v>
      </c>
      <c r="BF28" s="1">
        <v>3</v>
      </c>
      <c r="BG28" s="7">
        <v>3</v>
      </c>
    </row>
    <row r="29" spans="1:59">
      <c r="A29" s="31">
        <v>45970</v>
      </c>
      <c r="B29" s="3">
        <v>2.5</v>
      </c>
      <c r="C29" s="4" t="s">
        <v>163</v>
      </c>
      <c r="D29" s="5" t="s">
        <v>163</v>
      </c>
      <c r="E29" s="6">
        <v>2.25</v>
      </c>
      <c r="F29" s="1" t="s">
        <v>163</v>
      </c>
      <c r="G29" s="7" t="s">
        <v>163</v>
      </c>
      <c r="H29" s="3">
        <v>2.25</v>
      </c>
      <c r="I29" s="4">
        <v>2.75</v>
      </c>
      <c r="J29" s="5">
        <v>2.5</v>
      </c>
      <c r="K29" s="6">
        <v>2.75</v>
      </c>
      <c r="L29" s="1">
        <v>2.75</v>
      </c>
      <c r="M29" s="7">
        <v>2.75</v>
      </c>
      <c r="N29" s="3" t="s">
        <v>163</v>
      </c>
      <c r="O29" s="4">
        <v>2.75</v>
      </c>
      <c r="P29" s="5" t="s">
        <v>163</v>
      </c>
      <c r="Q29" s="6">
        <v>2.25</v>
      </c>
      <c r="R29" s="1" t="s">
        <v>163</v>
      </c>
      <c r="S29" s="7" t="s">
        <v>163</v>
      </c>
      <c r="T29" s="3" t="s">
        <v>163</v>
      </c>
      <c r="U29" s="4" t="s">
        <v>163</v>
      </c>
      <c r="V29" s="5" t="s">
        <v>163</v>
      </c>
      <c r="W29" s="6">
        <v>2.25</v>
      </c>
      <c r="X29" s="1" t="s">
        <v>163</v>
      </c>
      <c r="Y29" s="7">
        <v>2.5</v>
      </c>
      <c r="Z29" s="3" t="s">
        <v>163</v>
      </c>
      <c r="AA29" s="4" t="s">
        <v>163</v>
      </c>
      <c r="AB29" s="5">
        <v>3</v>
      </c>
      <c r="AC29" s="6">
        <v>3</v>
      </c>
      <c r="AD29" s="1" t="s">
        <v>163</v>
      </c>
      <c r="AE29" s="7">
        <v>3</v>
      </c>
      <c r="AF29" s="3" t="s">
        <v>163</v>
      </c>
      <c r="AG29" s="4" t="s">
        <v>163</v>
      </c>
      <c r="AH29" s="5">
        <v>3</v>
      </c>
      <c r="AI29" s="6">
        <v>3</v>
      </c>
      <c r="AJ29" s="1">
        <v>2.5</v>
      </c>
      <c r="AK29" s="7">
        <v>3</v>
      </c>
      <c r="AL29" s="3" t="s">
        <v>163</v>
      </c>
      <c r="AM29" s="5" t="s">
        <v>163</v>
      </c>
      <c r="AN29" s="6" t="s">
        <v>163</v>
      </c>
      <c r="AO29" s="7">
        <v>2.75</v>
      </c>
      <c r="AP29" s="3" t="s">
        <v>163</v>
      </c>
      <c r="AQ29" s="4">
        <v>3</v>
      </c>
      <c r="AR29" s="5">
        <v>3</v>
      </c>
      <c r="AS29" s="6">
        <v>2.75</v>
      </c>
      <c r="AT29" s="1">
        <v>3</v>
      </c>
      <c r="AU29" s="7">
        <v>3</v>
      </c>
      <c r="AV29" s="3" t="s">
        <v>163</v>
      </c>
      <c r="AW29" s="4">
        <v>3</v>
      </c>
      <c r="AX29" s="5">
        <v>3</v>
      </c>
      <c r="AY29" s="6">
        <v>2.75</v>
      </c>
      <c r="AZ29" s="1" t="s">
        <v>163</v>
      </c>
      <c r="BA29" s="7">
        <v>3</v>
      </c>
      <c r="BB29" s="3">
        <v>3</v>
      </c>
      <c r="BC29" s="4">
        <v>3</v>
      </c>
      <c r="BD29" s="5">
        <v>3</v>
      </c>
      <c r="BE29" s="6">
        <v>3</v>
      </c>
      <c r="BF29" s="1">
        <v>3</v>
      </c>
      <c r="BG29" s="7">
        <v>3</v>
      </c>
    </row>
    <row r="30" spans="1:59">
      <c r="A30" s="31">
        <v>45971</v>
      </c>
      <c r="B30" s="3">
        <v>2.5</v>
      </c>
      <c r="C30" s="4" t="s">
        <v>163</v>
      </c>
      <c r="D30" s="5" t="s">
        <v>163</v>
      </c>
      <c r="E30" s="6" t="s">
        <v>163</v>
      </c>
      <c r="F30" s="1" t="s">
        <v>163</v>
      </c>
      <c r="G30" s="7" t="s">
        <v>163</v>
      </c>
      <c r="H30" s="3" t="s">
        <v>163</v>
      </c>
      <c r="I30" s="4">
        <v>2.75</v>
      </c>
      <c r="J30" s="5">
        <v>2.5</v>
      </c>
      <c r="K30" s="6">
        <v>3</v>
      </c>
      <c r="L30" s="1">
        <v>2.75</v>
      </c>
      <c r="M30" s="7">
        <v>2.5</v>
      </c>
      <c r="N30" s="3" t="s">
        <v>163</v>
      </c>
      <c r="O30" s="4">
        <v>2.75</v>
      </c>
      <c r="P30" s="5" t="s">
        <v>163</v>
      </c>
      <c r="Q30" s="6" t="s">
        <v>163</v>
      </c>
      <c r="R30" s="1" t="s">
        <v>163</v>
      </c>
      <c r="S30" s="7" t="s">
        <v>163</v>
      </c>
      <c r="T30" s="3" t="s">
        <v>163</v>
      </c>
      <c r="U30" s="4" t="s">
        <v>163</v>
      </c>
      <c r="V30" s="5" t="s">
        <v>163</v>
      </c>
      <c r="W30" s="6" t="s">
        <v>163</v>
      </c>
      <c r="X30" s="1" t="s">
        <v>163</v>
      </c>
      <c r="Y30" s="7">
        <v>2.5</v>
      </c>
      <c r="Z30" s="3" t="s">
        <v>163</v>
      </c>
      <c r="AA30" s="4" t="s">
        <v>163</v>
      </c>
      <c r="AB30" s="5">
        <v>3</v>
      </c>
      <c r="AC30" s="6">
        <v>2.75</v>
      </c>
      <c r="AD30" s="1" t="s">
        <v>163</v>
      </c>
      <c r="AE30" s="7">
        <v>3</v>
      </c>
      <c r="AF30" s="3" t="s">
        <v>163</v>
      </c>
      <c r="AG30" s="4" t="s">
        <v>163</v>
      </c>
      <c r="AH30" s="5">
        <v>3</v>
      </c>
      <c r="AI30" s="6">
        <v>2.75</v>
      </c>
      <c r="AJ30" s="1">
        <v>2.25</v>
      </c>
      <c r="AK30" s="7">
        <v>3</v>
      </c>
      <c r="AL30" s="3" t="s">
        <v>163</v>
      </c>
      <c r="AM30" s="5" t="s">
        <v>163</v>
      </c>
      <c r="AN30" s="6" t="s">
        <v>163</v>
      </c>
      <c r="AO30" s="7">
        <v>2.75</v>
      </c>
      <c r="AP30" s="3" t="s">
        <v>163</v>
      </c>
      <c r="AQ30" s="4">
        <v>3</v>
      </c>
      <c r="AR30" s="5">
        <v>3</v>
      </c>
      <c r="AS30" s="6">
        <v>2.75</v>
      </c>
      <c r="AT30" s="1">
        <v>3</v>
      </c>
      <c r="AU30" s="7">
        <v>3</v>
      </c>
      <c r="AV30" s="3" t="s">
        <v>163</v>
      </c>
      <c r="AW30" s="4">
        <v>3</v>
      </c>
      <c r="AX30" s="5">
        <v>3</v>
      </c>
      <c r="AY30" s="6">
        <v>3</v>
      </c>
      <c r="AZ30" s="1" t="s">
        <v>163</v>
      </c>
      <c r="BA30" s="7">
        <v>3</v>
      </c>
      <c r="BB30" s="3">
        <v>3</v>
      </c>
      <c r="BC30" s="4">
        <v>3</v>
      </c>
      <c r="BD30" s="5">
        <v>3</v>
      </c>
      <c r="BE30" s="6">
        <v>3</v>
      </c>
      <c r="BF30" s="1">
        <v>3</v>
      </c>
      <c r="BG30" s="7">
        <v>3</v>
      </c>
    </row>
    <row r="31" spans="1:59">
      <c r="A31" s="31">
        <v>45972</v>
      </c>
      <c r="B31" s="3">
        <v>2.5</v>
      </c>
      <c r="C31" s="4" t="s">
        <v>163</v>
      </c>
      <c r="D31" s="5" t="s">
        <v>163</v>
      </c>
      <c r="E31" s="6" t="s">
        <v>163</v>
      </c>
      <c r="F31" s="1" t="s">
        <v>163</v>
      </c>
      <c r="G31" s="7" t="s">
        <v>163</v>
      </c>
      <c r="H31" s="3" t="s">
        <v>163</v>
      </c>
      <c r="I31" s="4">
        <v>2.5</v>
      </c>
      <c r="J31" s="5" t="s">
        <v>163</v>
      </c>
      <c r="K31" s="6">
        <v>2.75</v>
      </c>
      <c r="L31" s="1">
        <v>2.75</v>
      </c>
      <c r="M31" s="7" t="s">
        <v>163</v>
      </c>
      <c r="N31" s="3" t="s">
        <v>163</v>
      </c>
      <c r="O31" s="4">
        <v>2.5</v>
      </c>
      <c r="P31" s="5" t="s">
        <v>163</v>
      </c>
      <c r="Q31" s="6" t="s">
        <v>163</v>
      </c>
      <c r="R31" s="1" t="s">
        <v>163</v>
      </c>
      <c r="S31" s="7" t="s">
        <v>163</v>
      </c>
      <c r="T31" s="3" t="s">
        <v>163</v>
      </c>
      <c r="U31" s="4" t="s">
        <v>163</v>
      </c>
      <c r="V31" s="5" t="s">
        <v>163</v>
      </c>
      <c r="W31" s="6" t="s">
        <v>163</v>
      </c>
      <c r="X31" s="1" t="s">
        <v>163</v>
      </c>
      <c r="Y31" s="7" t="s">
        <v>163</v>
      </c>
      <c r="Z31" s="3" t="s">
        <v>163</v>
      </c>
      <c r="AA31" s="4" t="s">
        <v>163</v>
      </c>
      <c r="AB31" s="5">
        <v>3</v>
      </c>
      <c r="AC31" s="6">
        <v>2.75</v>
      </c>
      <c r="AD31" s="1" t="s">
        <v>163</v>
      </c>
      <c r="AE31" s="7">
        <v>3</v>
      </c>
      <c r="AF31" s="3" t="s">
        <v>163</v>
      </c>
      <c r="AG31" s="4" t="s">
        <v>163</v>
      </c>
      <c r="AH31" s="5">
        <v>3</v>
      </c>
      <c r="AI31" s="6">
        <v>2.75</v>
      </c>
      <c r="AJ31" s="1">
        <v>2.25</v>
      </c>
      <c r="AK31" s="7">
        <v>3</v>
      </c>
      <c r="AL31" s="3" t="s">
        <v>163</v>
      </c>
      <c r="AM31" s="5" t="s">
        <v>163</v>
      </c>
      <c r="AN31" s="6" t="s">
        <v>163</v>
      </c>
      <c r="AO31" s="7" t="s">
        <v>163</v>
      </c>
      <c r="AP31" s="3" t="s">
        <v>163</v>
      </c>
      <c r="AQ31" s="4">
        <v>3</v>
      </c>
      <c r="AR31" s="5">
        <v>3</v>
      </c>
      <c r="AS31" s="6">
        <v>2.75</v>
      </c>
      <c r="AT31" s="1">
        <v>3</v>
      </c>
      <c r="AU31" s="7">
        <v>3</v>
      </c>
      <c r="AV31" s="3" t="s">
        <v>163</v>
      </c>
      <c r="AW31" s="4">
        <v>3</v>
      </c>
      <c r="AX31" s="5">
        <v>3</v>
      </c>
      <c r="AY31" s="6">
        <v>3</v>
      </c>
      <c r="AZ31" s="1" t="s">
        <v>163</v>
      </c>
      <c r="BA31" s="7">
        <v>3</v>
      </c>
      <c r="BB31" s="3">
        <v>3</v>
      </c>
      <c r="BC31" s="4">
        <v>3</v>
      </c>
      <c r="BD31" s="5">
        <v>3</v>
      </c>
      <c r="BE31" s="6">
        <v>3</v>
      </c>
      <c r="BF31" s="1">
        <v>3</v>
      </c>
      <c r="BG31" s="7">
        <v>3</v>
      </c>
    </row>
    <row r="32" spans="1:59">
      <c r="A32" s="31">
        <v>45973</v>
      </c>
      <c r="B32" s="3">
        <v>2.25</v>
      </c>
      <c r="C32" s="4" t="s">
        <v>163</v>
      </c>
      <c r="D32" s="5" t="s">
        <v>163</v>
      </c>
      <c r="E32" s="6" t="s">
        <v>163</v>
      </c>
      <c r="F32" s="1" t="s">
        <v>163</v>
      </c>
      <c r="G32" s="7" t="s">
        <v>163</v>
      </c>
      <c r="H32" s="3" t="s">
        <v>163</v>
      </c>
      <c r="I32" s="4">
        <v>2.5</v>
      </c>
      <c r="J32" s="5" t="s">
        <v>163</v>
      </c>
      <c r="K32" s="6">
        <v>2.5</v>
      </c>
      <c r="L32" s="1">
        <v>2.25</v>
      </c>
      <c r="M32" s="7" t="s">
        <v>163</v>
      </c>
      <c r="N32" s="3" t="s">
        <v>163</v>
      </c>
      <c r="O32" s="4">
        <v>2</v>
      </c>
      <c r="P32" s="5" t="s">
        <v>163</v>
      </c>
      <c r="Q32" s="6" t="s">
        <v>163</v>
      </c>
      <c r="R32" s="1" t="s">
        <v>163</v>
      </c>
      <c r="S32" s="7" t="s">
        <v>163</v>
      </c>
      <c r="T32" s="3" t="s">
        <v>163</v>
      </c>
      <c r="U32" s="4" t="s">
        <v>163</v>
      </c>
      <c r="V32" s="5" t="s">
        <v>163</v>
      </c>
      <c r="W32" s="6" t="s">
        <v>163</v>
      </c>
      <c r="X32" s="1" t="s">
        <v>163</v>
      </c>
      <c r="Y32" s="7" t="s">
        <v>163</v>
      </c>
      <c r="Z32" s="3" t="s">
        <v>163</v>
      </c>
      <c r="AA32" s="4" t="s">
        <v>163</v>
      </c>
      <c r="AB32" s="5">
        <v>3</v>
      </c>
      <c r="AC32" s="6">
        <v>2.75</v>
      </c>
      <c r="AD32" s="1" t="s">
        <v>163</v>
      </c>
      <c r="AE32" s="7">
        <v>3</v>
      </c>
      <c r="AF32" s="3" t="s">
        <v>163</v>
      </c>
      <c r="AG32" s="4" t="s">
        <v>163</v>
      </c>
      <c r="AH32" s="5">
        <v>3</v>
      </c>
      <c r="AI32" s="6">
        <v>2.5</v>
      </c>
      <c r="AJ32" s="1">
        <v>2</v>
      </c>
      <c r="AK32" s="7">
        <v>3</v>
      </c>
      <c r="AL32" s="3" t="s">
        <v>163</v>
      </c>
      <c r="AM32" s="5" t="s">
        <v>163</v>
      </c>
      <c r="AN32" s="6" t="s">
        <v>163</v>
      </c>
      <c r="AO32" s="7" t="s">
        <v>163</v>
      </c>
      <c r="AP32" s="3" t="s">
        <v>163</v>
      </c>
      <c r="AQ32" s="4">
        <v>3</v>
      </c>
      <c r="AR32" s="5">
        <v>3</v>
      </c>
      <c r="AS32" s="6">
        <v>2.75</v>
      </c>
      <c r="AT32" s="1">
        <v>3</v>
      </c>
      <c r="AU32" s="7">
        <v>3</v>
      </c>
      <c r="AV32" s="3" t="s">
        <v>163</v>
      </c>
      <c r="AW32" s="4">
        <v>3</v>
      </c>
      <c r="AX32" s="5">
        <v>3</v>
      </c>
      <c r="AY32" s="6">
        <v>2.75</v>
      </c>
      <c r="AZ32" s="1" t="s">
        <v>163</v>
      </c>
      <c r="BA32" s="7">
        <v>3</v>
      </c>
      <c r="BB32" s="3">
        <v>3</v>
      </c>
      <c r="BC32" s="4">
        <v>3</v>
      </c>
      <c r="BD32" s="5">
        <v>3</v>
      </c>
      <c r="BE32" s="6">
        <v>3</v>
      </c>
      <c r="BF32" s="1">
        <v>3</v>
      </c>
      <c r="BG32" s="7">
        <v>3</v>
      </c>
    </row>
    <row r="33" spans="1:59">
      <c r="A33" s="31">
        <v>45974</v>
      </c>
      <c r="B33" s="3" t="s">
        <v>163</v>
      </c>
      <c r="C33" s="4" t="s">
        <v>163</v>
      </c>
      <c r="D33" s="5" t="s">
        <v>163</v>
      </c>
      <c r="E33" s="6" t="s">
        <v>163</v>
      </c>
      <c r="F33" s="1" t="s">
        <v>163</v>
      </c>
      <c r="G33" s="7" t="s">
        <v>163</v>
      </c>
      <c r="H33" s="3" t="s">
        <v>163</v>
      </c>
      <c r="I33" s="4" t="s">
        <v>163</v>
      </c>
      <c r="J33" s="5" t="s">
        <v>163</v>
      </c>
      <c r="K33" s="6" t="s">
        <v>163</v>
      </c>
      <c r="L33" s="1" t="s">
        <v>163</v>
      </c>
      <c r="M33" s="7" t="s">
        <v>163</v>
      </c>
      <c r="N33" s="3" t="s">
        <v>163</v>
      </c>
      <c r="O33" s="4" t="s">
        <v>163</v>
      </c>
      <c r="P33" s="5" t="s">
        <v>163</v>
      </c>
      <c r="Q33" s="6" t="s">
        <v>163</v>
      </c>
      <c r="R33" s="1" t="s">
        <v>163</v>
      </c>
      <c r="S33" s="7" t="s">
        <v>163</v>
      </c>
      <c r="T33" s="3" t="s">
        <v>163</v>
      </c>
      <c r="U33" s="4" t="s">
        <v>163</v>
      </c>
      <c r="V33" s="5" t="s">
        <v>163</v>
      </c>
      <c r="W33" s="6" t="s">
        <v>163</v>
      </c>
      <c r="X33" s="1" t="s">
        <v>163</v>
      </c>
      <c r="Y33" s="7" t="s">
        <v>163</v>
      </c>
      <c r="Z33" s="3" t="s">
        <v>163</v>
      </c>
      <c r="AA33" s="4" t="s">
        <v>163</v>
      </c>
      <c r="AB33" s="5">
        <v>3</v>
      </c>
      <c r="AC33" s="6" t="s">
        <v>163</v>
      </c>
      <c r="AD33" s="1" t="s">
        <v>163</v>
      </c>
      <c r="AE33" s="7">
        <v>3</v>
      </c>
      <c r="AF33" s="3" t="s">
        <v>163</v>
      </c>
      <c r="AG33" s="4" t="s">
        <v>163</v>
      </c>
      <c r="AH33" s="5">
        <v>3</v>
      </c>
      <c r="AI33" s="6">
        <v>2.5</v>
      </c>
      <c r="AJ33" s="1" t="s">
        <v>163</v>
      </c>
      <c r="AK33" s="7">
        <v>3</v>
      </c>
      <c r="AL33" s="3" t="s">
        <v>163</v>
      </c>
      <c r="AM33" s="5" t="s">
        <v>163</v>
      </c>
      <c r="AN33" s="6" t="s">
        <v>163</v>
      </c>
      <c r="AO33" s="7" t="s">
        <v>163</v>
      </c>
      <c r="AP33" s="3" t="s">
        <v>163</v>
      </c>
      <c r="AQ33" s="4">
        <v>3</v>
      </c>
      <c r="AR33" s="5">
        <v>3</v>
      </c>
      <c r="AS33" s="6">
        <v>2.75</v>
      </c>
      <c r="AT33" s="1">
        <v>3</v>
      </c>
      <c r="AU33" s="7">
        <v>3</v>
      </c>
      <c r="AV33" s="3" t="s">
        <v>163</v>
      </c>
      <c r="AW33" s="4">
        <v>3</v>
      </c>
      <c r="AX33" s="5">
        <v>3</v>
      </c>
      <c r="AY33" s="6">
        <v>2.75</v>
      </c>
      <c r="AZ33" s="1" t="s">
        <v>163</v>
      </c>
      <c r="BA33" s="7">
        <v>3</v>
      </c>
      <c r="BB33" s="3">
        <v>3</v>
      </c>
      <c r="BC33" s="4">
        <v>3</v>
      </c>
      <c r="BD33" s="5">
        <v>3</v>
      </c>
      <c r="BE33" s="6">
        <v>3</v>
      </c>
      <c r="BF33" s="1">
        <v>3</v>
      </c>
      <c r="BG33" s="7">
        <v>3</v>
      </c>
    </row>
    <row r="34" spans="1:59">
      <c r="A34" s="31">
        <v>45975</v>
      </c>
      <c r="B34" s="3" t="s">
        <v>163</v>
      </c>
      <c r="C34" s="4" t="s">
        <v>163</v>
      </c>
      <c r="D34" s="5" t="s">
        <v>163</v>
      </c>
      <c r="E34" s="6" t="s">
        <v>163</v>
      </c>
      <c r="F34" s="1" t="s">
        <v>163</v>
      </c>
      <c r="G34" s="7" t="s">
        <v>163</v>
      </c>
      <c r="H34" s="3" t="s">
        <v>163</v>
      </c>
      <c r="I34" s="4" t="s">
        <v>163</v>
      </c>
      <c r="J34" s="5" t="s">
        <v>163</v>
      </c>
      <c r="K34" s="6" t="s">
        <v>163</v>
      </c>
      <c r="L34" s="1" t="s">
        <v>163</v>
      </c>
      <c r="M34" s="7" t="s">
        <v>163</v>
      </c>
      <c r="N34" s="3" t="s">
        <v>163</v>
      </c>
      <c r="O34" s="4" t="s">
        <v>163</v>
      </c>
      <c r="P34" s="5" t="s">
        <v>163</v>
      </c>
      <c r="Q34" s="6" t="s">
        <v>163</v>
      </c>
      <c r="R34" s="1" t="s">
        <v>163</v>
      </c>
      <c r="S34" s="7" t="s">
        <v>163</v>
      </c>
      <c r="T34" s="3" t="s">
        <v>163</v>
      </c>
      <c r="U34" s="4" t="s">
        <v>163</v>
      </c>
      <c r="V34" s="5" t="s">
        <v>163</v>
      </c>
      <c r="W34" s="6" t="s">
        <v>163</v>
      </c>
      <c r="X34" s="1" t="s">
        <v>163</v>
      </c>
      <c r="Y34" s="7" t="s">
        <v>163</v>
      </c>
      <c r="Z34" s="3" t="s">
        <v>163</v>
      </c>
      <c r="AA34" s="4" t="s">
        <v>163</v>
      </c>
      <c r="AB34" s="5">
        <v>3</v>
      </c>
      <c r="AC34" s="6" t="s">
        <v>163</v>
      </c>
      <c r="AD34" s="1" t="s">
        <v>163</v>
      </c>
      <c r="AE34" s="7">
        <v>3</v>
      </c>
      <c r="AF34" s="3" t="s">
        <v>163</v>
      </c>
      <c r="AG34" s="4" t="s">
        <v>163</v>
      </c>
      <c r="AH34" s="5">
        <v>3</v>
      </c>
      <c r="AI34" s="6">
        <v>2.25</v>
      </c>
      <c r="AJ34" s="1" t="s">
        <v>163</v>
      </c>
      <c r="AK34" s="7">
        <v>3</v>
      </c>
      <c r="AL34" s="3" t="s">
        <v>163</v>
      </c>
      <c r="AM34" s="5" t="s">
        <v>163</v>
      </c>
      <c r="AN34" s="6" t="s">
        <v>163</v>
      </c>
      <c r="AO34" s="7" t="s">
        <v>163</v>
      </c>
      <c r="AP34" s="3" t="s">
        <v>163</v>
      </c>
      <c r="AQ34" s="4">
        <v>3</v>
      </c>
      <c r="AR34" s="5">
        <v>3</v>
      </c>
      <c r="AS34" s="6">
        <v>2.75</v>
      </c>
      <c r="AT34" s="1">
        <v>3</v>
      </c>
      <c r="AU34" s="7">
        <v>3</v>
      </c>
      <c r="AV34" s="3" t="s">
        <v>163</v>
      </c>
      <c r="AW34" s="4">
        <v>3</v>
      </c>
      <c r="AX34" s="5">
        <v>3</v>
      </c>
      <c r="AY34" s="6">
        <v>2.75</v>
      </c>
      <c r="AZ34" s="1" t="s">
        <v>163</v>
      </c>
      <c r="BA34" s="7">
        <v>3</v>
      </c>
      <c r="BB34" s="3">
        <v>3</v>
      </c>
      <c r="BC34" s="4">
        <v>3</v>
      </c>
      <c r="BD34" s="5">
        <v>3</v>
      </c>
      <c r="BE34" s="6">
        <v>3</v>
      </c>
      <c r="BF34" s="1">
        <v>3</v>
      </c>
      <c r="BG34" s="7">
        <v>3</v>
      </c>
    </row>
    <row r="35" spans="1:59">
      <c r="A35" s="31"/>
      <c r="B35" s="3"/>
      <c r="C35" s="4"/>
      <c r="D35" s="5"/>
      <c r="E35" s="6"/>
      <c r="F35" s="1"/>
      <c r="G35" s="7"/>
      <c r="H35" s="3"/>
      <c r="I35" s="4"/>
      <c r="J35" s="5"/>
      <c r="K35" s="6"/>
      <c r="L35" s="1"/>
      <c r="M35" s="7"/>
      <c r="N35" s="3"/>
      <c r="O35" s="4"/>
      <c r="P35" s="5"/>
      <c r="Q35" s="6"/>
      <c r="R35" s="1"/>
      <c r="S35" s="7"/>
      <c r="T35" s="3"/>
      <c r="U35" s="4"/>
      <c r="V35" s="5"/>
      <c r="W35" s="6"/>
      <c r="X35" s="1"/>
      <c r="Y35" s="7"/>
      <c r="Z35" s="3"/>
      <c r="AA35" s="4"/>
      <c r="AB35" s="5"/>
      <c r="AC35" s="6"/>
      <c r="AD35" s="1"/>
      <c r="AE35" s="7"/>
      <c r="AF35" s="3"/>
      <c r="AG35" s="4"/>
      <c r="AH35" s="5"/>
      <c r="AI35" s="6"/>
      <c r="AJ35" s="1"/>
      <c r="AK35" s="7"/>
      <c r="AL35" s="3"/>
      <c r="AM35" s="5"/>
      <c r="AN35" s="6"/>
      <c r="AO35" s="7"/>
      <c r="AP35" s="3"/>
      <c r="AQ35" s="4"/>
      <c r="AR35" s="5"/>
      <c r="AS35" s="6"/>
      <c r="AT35" s="1"/>
      <c r="AU35" s="7"/>
      <c r="AV35" s="3"/>
      <c r="AW35" s="4"/>
      <c r="AX35" s="5"/>
      <c r="AY35" s="6"/>
      <c r="AZ35" s="1"/>
      <c r="BA35" s="7"/>
      <c r="BB35" s="3"/>
      <c r="BC35" s="4"/>
      <c r="BD35" s="5"/>
      <c r="BE35" s="6"/>
      <c r="BF35" s="1"/>
      <c r="BG35"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55"/>
  <sheetViews>
    <sheetView zoomScaleNormal="100" workbookViewId="0">
      <pane ySplit="4" topLeftCell="A14" activePane="bottomLeft" state="frozen"/>
      <selection pane="bottomLeft" activeCell="B38" sqref="B38"/>
    </sheetView>
  </sheetViews>
  <sheetFormatPr defaultColWidth="16.7109375" defaultRowHeight="15"/>
  <cols>
    <col min="1" max="1" width="16.7109375" style="29"/>
    <col min="2" max="16384" width="16.7109375" style="2"/>
  </cols>
  <sheetData>
    <row r="1" spans="1:59" s="29" customFormat="1">
      <c r="A1" s="22" t="s">
        <v>0</v>
      </c>
      <c r="B1" s="23" t="s">
        <v>1</v>
      </c>
      <c r="C1" s="24" t="s">
        <v>2</v>
      </c>
      <c r="D1" s="25" t="s">
        <v>3</v>
      </c>
      <c r="E1" s="26" t="s">
        <v>4</v>
      </c>
      <c r="F1" s="27" t="s">
        <v>5</v>
      </c>
      <c r="G1" s="28" t="s">
        <v>6</v>
      </c>
      <c r="H1" s="23" t="s">
        <v>7</v>
      </c>
      <c r="I1" s="24" t="s">
        <v>8</v>
      </c>
      <c r="J1" s="25" t="s">
        <v>9</v>
      </c>
      <c r="K1" s="26" t="s">
        <v>10</v>
      </c>
      <c r="L1" s="27" t="s">
        <v>11</v>
      </c>
      <c r="M1" s="28" t="s">
        <v>12</v>
      </c>
      <c r="N1" s="23" t="s">
        <v>13</v>
      </c>
      <c r="O1" s="24" t="s">
        <v>14</v>
      </c>
      <c r="P1" s="25" t="s">
        <v>15</v>
      </c>
      <c r="Q1" s="26" t="s">
        <v>16</v>
      </c>
      <c r="R1" s="27" t="s">
        <v>17</v>
      </c>
      <c r="S1" s="28" t="s">
        <v>18</v>
      </c>
      <c r="T1" s="23" t="s">
        <v>19</v>
      </c>
      <c r="U1" s="24" t="s">
        <v>20</v>
      </c>
      <c r="V1" s="25" t="s">
        <v>21</v>
      </c>
      <c r="W1" s="26" t="s">
        <v>22</v>
      </c>
      <c r="X1" s="27" t="s">
        <v>23</v>
      </c>
      <c r="Y1" s="28" t="s">
        <v>24</v>
      </c>
      <c r="Z1" s="23" t="s">
        <v>25</v>
      </c>
      <c r="AA1" s="24" t="s">
        <v>26</v>
      </c>
      <c r="AB1" s="25" t="s">
        <v>27</v>
      </c>
      <c r="AC1" s="26" t="s">
        <v>28</v>
      </c>
      <c r="AD1" s="27" t="s">
        <v>29</v>
      </c>
      <c r="AE1" s="28" t="s">
        <v>30</v>
      </c>
      <c r="AF1" s="23" t="s">
        <v>31</v>
      </c>
      <c r="AG1" s="24" t="s">
        <v>32</v>
      </c>
      <c r="AH1" s="25" t="s">
        <v>33</v>
      </c>
      <c r="AI1" s="26" t="s">
        <v>34</v>
      </c>
      <c r="AJ1" s="27" t="s">
        <v>35</v>
      </c>
      <c r="AK1" s="28" t="s">
        <v>36</v>
      </c>
      <c r="AL1" s="23" t="s">
        <v>37</v>
      </c>
      <c r="AM1" s="25" t="s">
        <v>38</v>
      </c>
      <c r="AN1" s="26" t="s">
        <v>39</v>
      </c>
      <c r="AO1" s="28" t="s">
        <v>40</v>
      </c>
      <c r="AP1" s="23" t="s">
        <v>41</v>
      </c>
      <c r="AQ1" s="24" t="s">
        <v>42</v>
      </c>
      <c r="AR1" s="25" t="s">
        <v>43</v>
      </c>
      <c r="AS1" s="26" t="s">
        <v>44</v>
      </c>
      <c r="AT1" s="27" t="s">
        <v>45</v>
      </c>
      <c r="AU1" s="28" t="s">
        <v>46</v>
      </c>
      <c r="AV1" s="23" t="s">
        <v>47</v>
      </c>
      <c r="AW1" s="24" t="s">
        <v>48</v>
      </c>
      <c r="AX1" s="25" t="s">
        <v>49</v>
      </c>
      <c r="AY1" s="26" t="s">
        <v>50</v>
      </c>
      <c r="AZ1" s="27" t="s">
        <v>51</v>
      </c>
      <c r="BA1" s="28" t="s">
        <v>52</v>
      </c>
      <c r="BB1" s="23" t="s">
        <v>53</v>
      </c>
      <c r="BC1" s="24" t="s">
        <v>54</v>
      </c>
      <c r="BD1" s="25" t="s">
        <v>55</v>
      </c>
      <c r="BE1" s="26" t="s">
        <v>56</v>
      </c>
      <c r="BF1" s="27" t="s">
        <v>57</v>
      </c>
      <c r="BG1" s="28" t="s">
        <v>58</v>
      </c>
    </row>
    <row r="2" spans="1:59" hidden="1">
      <c r="A2" s="30" t="s">
        <v>59</v>
      </c>
      <c r="B2" s="3" t="s">
        <v>60</v>
      </c>
      <c r="C2" s="4" t="s">
        <v>60</v>
      </c>
      <c r="D2" s="5" t="s">
        <v>60</v>
      </c>
      <c r="E2" s="6" t="s">
        <v>60</v>
      </c>
      <c r="F2" s="1" t="s">
        <v>60</v>
      </c>
      <c r="G2" s="7" t="s">
        <v>60</v>
      </c>
      <c r="H2" s="3" t="s">
        <v>60</v>
      </c>
      <c r="I2" s="4" t="s">
        <v>60</v>
      </c>
      <c r="J2" s="5" t="s">
        <v>60</v>
      </c>
      <c r="K2" s="6" t="s">
        <v>60</v>
      </c>
      <c r="L2" s="1" t="s">
        <v>60</v>
      </c>
      <c r="M2" s="7" t="s">
        <v>60</v>
      </c>
      <c r="N2" s="3" t="s">
        <v>60</v>
      </c>
      <c r="O2" s="4" t="s">
        <v>60</v>
      </c>
      <c r="P2" s="5" t="s">
        <v>60</v>
      </c>
      <c r="Q2" s="6" t="s">
        <v>60</v>
      </c>
      <c r="R2" s="1" t="s">
        <v>60</v>
      </c>
      <c r="S2" s="7" t="s">
        <v>60</v>
      </c>
      <c r="T2" s="3" t="s">
        <v>60</v>
      </c>
      <c r="U2" s="4" t="s">
        <v>60</v>
      </c>
      <c r="V2" s="5" t="s">
        <v>60</v>
      </c>
      <c r="W2" s="6" t="s">
        <v>60</v>
      </c>
      <c r="X2" s="1" t="s">
        <v>60</v>
      </c>
      <c r="Y2" s="7" t="s">
        <v>60</v>
      </c>
      <c r="Z2" s="3" t="s">
        <v>60</v>
      </c>
      <c r="AA2" s="4" t="s">
        <v>60</v>
      </c>
      <c r="AB2" s="5" t="s">
        <v>60</v>
      </c>
      <c r="AC2" s="6" t="s">
        <v>60</v>
      </c>
      <c r="AD2" s="1" t="s">
        <v>60</v>
      </c>
      <c r="AE2" s="7" t="s">
        <v>60</v>
      </c>
      <c r="AF2" s="3" t="s">
        <v>60</v>
      </c>
      <c r="AG2" s="4" t="s">
        <v>60</v>
      </c>
      <c r="AH2" s="5" t="s">
        <v>60</v>
      </c>
      <c r="AI2" s="6" t="s">
        <v>60</v>
      </c>
      <c r="AJ2" s="1" t="s">
        <v>60</v>
      </c>
      <c r="AK2" s="7" t="s">
        <v>60</v>
      </c>
      <c r="AL2" s="3" t="s">
        <v>60</v>
      </c>
      <c r="AM2" s="5" t="s">
        <v>60</v>
      </c>
      <c r="AN2" s="6" t="s">
        <v>60</v>
      </c>
      <c r="AO2" s="7" t="s">
        <v>60</v>
      </c>
      <c r="AP2" s="3" t="s">
        <v>60</v>
      </c>
      <c r="AQ2" s="4" t="s">
        <v>60</v>
      </c>
      <c r="AR2" s="5" t="s">
        <v>60</v>
      </c>
      <c r="AS2" s="6" t="s">
        <v>60</v>
      </c>
      <c r="AT2" s="1" t="s">
        <v>60</v>
      </c>
      <c r="AU2" s="7" t="s">
        <v>60</v>
      </c>
      <c r="AV2" s="3" t="s">
        <v>60</v>
      </c>
      <c r="AW2" s="4" t="s">
        <v>60</v>
      </c>
      <c r="AX2" s="5" t="s">
        <v>60</v>
      </c>
      <c r="AY2" s="6" t="s">
        <v>60</v>
      </c>
      <c r="AZ2" s="1" t="s">
        <v>60</v>
      </c>
      <c r="BA2" s="7" t="s">
        <v>60</v>
      </c>
      <c r="BB2" s="3" t="s">
        <v>60</v>
      </c>
      <c r="BC2" s="4" t="s">
        <v>60</v>
      </c>
      <c r="BD2" s="5" t="s">
        <v>60</v>
      </c>
      <c r="BE2" s="6" t="s">
        <v>60</v>
      </c>
      <c r="BF2" s="1" t="s">
        <v>60</v>
      </c>
      <c r="BG2" s="7" t="s">
        <v>60</v>
      </c>
    </row>
    <row r="3" spans="1:59" hidden="1">
      <c r="A3" s="30" t="s">
        <v>61</v>
      </c>
      <c r="B3" s="8">
        <v>45888</v>
      </c>
      <c r="C3" s="9">
        <v>45888</v>
      </c>
      <c r="D3" s="10">
        <v>45888</v>
      </c>
      <c r="E3" s="11">
        <v>45889</v>
      </c>
      <c r="F3" s="12">
        <v>45889</v>
      </c>
      <c r="G3" s="13">
        <v>45889</v>
      </c>
      <c r="H3" s="8">
        <v>45889</v>
      </c>
      <c r="I3" s="9">
        <v>45889</v>
      </c>
      <c r="J3" s="10">
        <v>45889</v>
      </c>
      <c r="K3" s="11">
        <v>45889</v>
      </c>
      <c r="L3" s="12">
        <v>45889</v>
      </c>
      <c r="M3" s="13">
        <v>45889</v>
      </c>
      <c r="N3" s="8">
        <v>45889</v>
      </c>
      <c r="O3" s="9">
        <v>45889</v>
      </c>
      <c r="P3" s="10">
        <v>45889</v>
      </c>
      <c r="Q3" s="11">
        <v>45889</v>
      </c>
      <c r="R3" s="12">
        <v>45889</v>
      </c>
      <c r="S3" s="13">
        <v>45889</v>
      </c>
      <c r="T3" s="8">
        <v>45888</v>
      </c>
      <c r="U3" s="9">
        <v>45889</v>
      </c>
      <c r="V3" s="10">
        <v>45889</v>
      </c>
      <c r="W3" s="11">
        <v>45889</v>
      </c>
      <c r="X3" s="12">
        <v>45889</v>
      </c>
      <c r="Y3" s="13">
        <v>45889</v>
      </c>
      <c r="Z3" s="8">
        <v>45889</v>
      </c>
      <c r="AA3" s="9">
        <v>45889</v>
      </c>
      <c r="AB3" s="10">
        <v>45889</v>
      </c>
      <c r="AC3" s="11">
        <v>45891</v>
      </c>
      <c r="AD3" s="12">
        <v>45891</v>
      </c>
      <c r="AE3" s="13">
        <v>45891</v>
      </c>
      <c r="AF3" s="8">
        <v>45889</v>
      </c>
      <c r="AG3" s="9">
        <v>45889</v>
      </c>
      <c r="AH3" s="10">
        <v>45889</v>
      </c>
      <c r="AI3" s="11">
        <v>45889</v>
      </c>
      <c r="AJ3" s="12">
        <v>45889</v>
      </c>
      <c r="AK3" s="13">
        <v>45889</v>
      </c>
      <c r="AL3" s="8">
        <v>45892</v>
      </c>
      <c r="AM3" s="10">
        <v>45892</v>
      </c>
      <c r="AN3" s="11">
        <v>45888</v>
      </c>
      <c r="AO3" s="13">
        <v>45888</v>
      </c>
      <c r="AP3" s="8">
        <v>45891</v>
      </c>
      <c r="AQ3" s="9">
        <v>45891</v>
      </c>
      <c r="AR3" s="10">
        <v>45891</v>
      </c>
      <c r="AS3" s="11">
        <v>45889</v>
      </c>
      <c r="AT3" s="12">
        <v>45889</v>
      </c>
      <c r="AU3" s="13">
        <v>45889</v>
      </c>
      <c r="AV3" s="8">
        <v>45889</v>
      </c>
      <c r="AW3" s="9">
        <v>45889</v>
      </c>
      <c r="AX3" s="10">
        <v>45889</v>
      </c>
      <c r="AY3" s="11">
        <v>45889</v>
      </c>
      <c r="AZ3" s="12">
        <v>45889</v>
      </c>
      <c r="BA3" s="13">
        <v>45889</v>
      </c>
      <c r="BB3" s="8">
        <v>45888</v>
      </c>
      <c r="BC3" s="9">
        <v>45888</v>
      </c>
      <c r="BD3" s="10">
        <v>45888</v>
      </c>
      <c r="BE3" s="11">
        <v>45889</v>
      </c>
      <c r="BF3" s="12">
        <v>45889</v>
      </c>
      <c r="BG3" s="13">
        <v>45889</v>
      </c>
    </row>
    <row r="4" spans="1:59" hidden="1">
      <c r="A4" s="30" t="s">
        <v>62</v>
      </c>
      <c r="B4" s="3" t="s">
        <v>63</v>
      </c>
      <c r="C4" s="4" t="s">
        <v>63</v>
      </c>
      <c r="D4" s="5" t="s">
        <v>63</v>
      </c>
      <c r="E4" s="6" t="s">
        <v>63</v>
      </c>
      <c r="F4" s="1" t="s">
        <v>63</v>
      </c>
      <c r="G4" s="7" t="s">
        <v>63</v>
      </c>
      <c r="H4" s="3" t="s">
        <v>63</v>
      </c>
      <c r="I4" s="4" t="s">
        <v>63</v>
      </c>
      <c r="J4" s="5" t="s">
        <v>63</v>
      </c>
      <c r="K4" s="6" t="s">
        <v>63</v>
      </c>
      <c r="L4" s="1" t="s">
        <v>63</v>
      </c>
      <c r="M4" s="7" t="s">
        <v>63</v>
      </c>
      <c r="N4" s="3" t="s">
        <v>63</v>
      </c>
      <c r="O4" s="4" t="s">
        <v>63</v>
      </c>
      <c r="P4" s="5" t="s">
        <v>63</v>
      </c>
      <c r="Q4" s="6" t="s">
        <v>63</v>
      </c>
      <c r="R4" s="1" t="s">
        <v>63</v>
      </c>
      <c r="S4" s="7" t="s">
        <v>63</v>
      </c>
      <c r="T4" s="3" t="s">
        <v>63</v>
      </c>
      <c r="U4" s="4" t="s">
        <v>63</v>
      </c>
      <c r="V4" s="5" t="s">
        <v>63</v>
      </c>
      <c r="W4" s="6" t="s">
        <v>63</v>
      </c>
      <c r="X4" s="1" t="s">
        <v>63</v>
      </c>
      <c r="Y4" s="7" t="s">
        <v>63</v>
      </c>
      <c r="Z4" s="3" t="s">
        <v>63</v>
      </c>
      <c r="AA4" s="4" t="s">
        <v>63</v>
      </c>
      <c r="AB4" s="5" t="s">
        <v>63</v>
      </c>
      <c r="AC4" s="6" t="s">
        <v>63</v>
      </c>
      <c r="AD4" s="1" t="s">
        <v>63</v>
      </c>
      <c r="AE4" s="7" t="s">
        <v>63</v>
      </c>
      <c r="AF4" s="3" t="s">
        <v>63</v>
      </c>
      <c r="AG4" s="4" t="s">
        <v>63</v>
      </c>
      <c r="AH4" s="5" t="s">
        <v>63</v>
      </c>
      <c r="AI4" s="6" t="s">
        <v>63</v>
      </c>
      <c r="AJ4" s="1" t="s">
        <v>63</v>
      </c>
      <c r="AK4" s="7" t="s">
        <v>63</v>
      </c>
      <c r="AL4" s="3" t="s">
        <v>63</v>
      </c>
      <c r="AM4" s="5" t="s">
        <v>63</v>
      </c>
      <c r="AN4" s="6" t="s">
        <v>63</v>
      </c>
      <c r="AO4" s="7" t="s">
        <v>63</v>
      </c>
      <c r="AP4" s="3" t="s">
        <v>63</v>
      </c>
      <c r="AQ4" s="4" t="s">
        <v>63</v>
      </c>
      <c r="AR4" s="5" t="s">
        <v>63</v>
      </c>
      <c r="AS4" s="6" t="s">
        <v>63</v>
      </c>
      <c r="AT4" s="1" t="s">
        <v>63</v>
      </c>
      <c r="AU4" s="7" t="s">
        <v>63</v>
      </c>
      <c r="AV4" s="3" t="s">
        <v>63</v>
      </c>
      <c r="AW4" s="4" t="s">
        <v>63</v>
      </c>
      <c r="AX4" s="5" t="s">
        <v>63</v>
      </c>
      <c r="AY4" s="6" t="s">
        <v>63</v>
      </c>
      <c r="AZ4" s="1" t="s">
        <v>63</v>
      </c>
      <c r="BA4" s="7" t="s">
        <v>63</v>
      </c>
      <c r="BB4" s="3" t="s">
        <v>63</v>
      </c>
      <c r="BC4" s="4" t="s">
        <v>63</v>
      </c>
      <c r="BD4" s="5" t="s">
        <v>63</v>
      </c>
      <c r="BE4" s="6" t="s">
        <v>63</v>
      </c>
      <c r="BF4" s="1" t="s">
        <v>63</v>
      </c>
      <c r="BG4" s="7" t="s">
        <v>63</v>
      </c>
    </row>
    <row r="5" spans="1:59">
      <c r="A5" s="30" t="s">
        <v>64</v>
      </c>
      <c r="B5" s="3" t="s">
        <v>65</v>
      </c>
      <c r="C5" s="4" t="s">
        <v>65</v>
      </c>
      <c r="D5" s="5" t="s">
        <v>65</v>
      </c>
      <c r="E5" s="6" t="s">
        <v>66</v>
      </c>
      <c r="F5" s="1" t="s">
        <v>66</v>
      </c>
      <c r="G5" s="7" t="s">
        <v>66</v>
      </c>
      <c r="H5" s="3" t="s">
        <v>67</v>
      </c>
      <c r="I5" s="4" t="s">
        <v>67</v>
      </c>
      <c r="J5" s="5" t="s">
        <v>67</v>
      </c>
      <c r="K5" s="6" t="s">
        <v>68</v>
      </c>
      <c r="L5" s="1" t="s">
        <v>68</v>
      </c>
      <c r="M5" s="7" t="s">
        <v>68</v>
      </c>
      <c r="N5" s="3" t="s">
        <v>69</v>
      </c>
      <c r="O5" s="4" t="s">
        <v>69</v>
      </c>
      <c r="P5" s="5" t="s">
        <v>69</v>
      </c>
      <c r="Q5" s="6" t="s">
        <v>70</v>
      </c>
      <c r="R5" s="1" t="s">
        <v>70</v>
      </c>
      <c r="S5" s="7" t="s">
        <v>70</v>
      </c>
      <c r="T5" s="3" t="s">
        <v>67</v>
      </c>
      <c r="U5" s="4" t="s">
        <v>68</v>
      </c>
      <c r="V5" s="5" t="s">
        <v>69</v>
      </c>
      <c r="W5" s="6" t="s">
        <v>68</v>
      </c>
      <c r="X5" s="1" t="s">
        <v>69</v>
      </c>
      <c r="Y5" s="7" t="s">
        <v>70</v>
      </c>
      <c r="Z5" s="3" t="s">
        <v>66</v>
      </c>
      <c r="AA5" s="4" t="s">
        <v>66</v>
      </c>
      <c r="AB5" s="5" t="s">
        <v>66</v>
      </c>
      <c r="AC5" s="6" t="s">
        <v>71</v>
      </c>
      <c r="AD5" s="1" t="s">
        <v>71</v>
      </c>
      <c r="AE5" s="7" t="s">
        <v>71</v>
      </c>
      <c r="AF5" s="3" t="s">
        <v>72</v>
      </c>
      <c r="AG5" s="4" t="s">
        <v>72</v>
      </c>
      <c r="AH5" s="5" t="s">
        <v>72</v>
      </c>
      <c r="AI5" s="6" t="s">
        <v>73</v>
      </c>
      <c r="AJ5" s="1" t="s">
        <v>73</v>
      </c>
      <c r="AK5" s="7" t="s">
        <v>73</v>
      </c>
      <c r="AL5" s="3" t="s">
        <v>74</v>
      </c>
      <c r="AM5" s="5" t="s">
        <v>74</v>
      </c>
      <c r="AN5" s="6" t="s">
        <v>73</v>
      </c>
      <c r="AO5" s="7" t="s">
        <v>73</v>
      </c>
      <c r="AP5" s="3" t="s">
        <v>71</v>
      </c>
      <c r="AQ5" s="4" t="s">
        <v>71</v>
      </c>
      <c r="AR5" s="5" t="s">
        <v>71</v>
      </c>
      <c r="AS5" s="6" t="s">
        <v>70</v>
      </c>
      <c r="AT5" s="1" t="s">
        <v>70</v>
      </c>
      <c r="AU5" s="7" t="s">
        <v>70</v>
      </c>
      <c r="AV5" s="3" t="s">
        <v>69</v>
      </c>
      <c r="AW5" s="4" t="s">
        <v>69</v>
      </c>
      <c r="AX5" s="5" t="s">
        <v>69</v>
      </c>
      <c r="AY5" s="6" t="s">
        <v>68</v>
      </c>
      <c r="AZ5" s="1" t="s">
        <v>68</v>
      </c>
      <c r="BA5" s="7" t="s">
        <v>68</v>
      </c>
      <c r="BB5" s="3" t="s">
        <v>74</v>
      </c>
      <c r="BC5" s="4" t="s">
        <v>74</v>
      </c>
      <c r="BD5" s="5" t="s">
        <v>74</v>
      </c>
      <c r="BE5" s="6" t="s">
        <v>66</v>
      </c>
      <c r="BF5" s="1" t="s">
        <v>66</v>
      </c>
      <c r="BG5" s="7" t="s">
        <v>66</v>
      </c>
    </row>
    <row r="6" spans="1:59" hidden="1">
      <c r="A6" s="30" t="s">
        <v>75</v>
      </c>
      <c r="B6" s="3" t="s">
        <v>76</v>
      </c>
      <c r="C6" s="4" t="s">
        <v>76</v>
      </c>
      <c r="D6" s="5" t="s">
        <v>76</v>
      </c>
      <c r="E6" s="6" t="s">
        <v>77</v>
      </c>
      <c r="F6" s="1" t="s">
        <v>77</v>
      </c>
      <c r="G6" s="7" t="s">
        <v>77</v>
      </c>
      <c r="H6" s="3" t="s">
        <v>78</v>
      </c>
      <c r="I6" s="4" t="s">
        <v>78</v>
      </c>
      <c r="J6" s="5" t="s">
        <v>78</v>
      </c>
      <c r="K6" s="6" t="s">
        <v>79</v>
      </c>
      <c r="L6" s="1" t="s">
        <v>79</v>
      </c>
      <c r="M6" s="7" t="s">
        <v>79</v>
      </c>
      <c r="N6" s="3" t="s">
        <v>80</v>
      </c>
      <c r="O6" s="4" t="s">
        <v>80</v>
      </c>
      <c r="P6" s="5" t="s">
        <v>80</v>
      </c>
      <c r="Q6" s="6" t="s">
        <v>81</v>
      </c>
      <c r="R6" s="1" t="s">
        <v>81</v>
      </c>
      <c r="S6" s="7" t="s">
        <v>81</v>
      </c>
      <c r="T6" s="3" t="s">
        <v>78</v>
      </c>
      <c r="U6" s="4" t="s">
        <v>79</v>
      </c>
      <c r="V6" s="5" t="s">
        <v>80</v>
      </c>
      <c r="W6" s="6" t="s">
        <v>79</v>
      </c>
      <c r="X6" s="1" t="s">
        <v>80</v>
      </c>
      <c r="Y6" s="7" t="s">
        <v>81</v>
      </c>
      <c r="Z6" s="3" t="s">
        <v>77</v>
      </c>
      <c r="AA6" s="4" t="s">
        <v>77</v>
      </c>
      <c r="AB6" s="5" t="s">
        <v>77</v>
      </c>
      <c r="AC6" s="6" t="s">
        <v>82</v>
      </c>
      <c r="AD6" s="1" t="s">
        <v>82</v>
      </c>
      <c r="AE6" s="7" t="s">
        <v>82</v>
      </c>
      <c r="AF6" s="3" t="s">
        <v>83</v>
      </c>
      <c r="AG6" s="4" t="s">
        <v>83</v>
      </c>
      <c r="AH6" s="5" t="s">
        <v>83</v>
      </c>
      <c r="AI6" s="6" t="s">
        <v>84</v>
      </c>
      <c r="AJ6" s="1" t="s">
        <v>84</v>
      </c>
      <c r="AK6" s="7" t="s">
        <v>84</v>
      </c>
      <c r="AL6" s="3" t="s">
        <v>85</v>
      </c>
      <c r="AM6" s="5" t="s">
        <v>85</v>
      </c>
      <c r="AN6" s="6" t="s">
        <v>84</v>
      </c>
      <c r="AO6" s="7" t="s">
        <v>84</v>
      </c>
      <c r="AP6" s="3" t="s">
        <v>82</v>
      </c>
      <c r="AQ6" s="4" t="s">
        <v>82</v>
      </c>
      <c r="AR6" s="5" t="s">
        <v>82</v>
      </c>
      <c r="AS6" s="6" t="s">
        <v>81</v>
      </c>
      <c r="AT6" s="1" t="s">
        <v>81</v>
      </c>
      <c r="AU6" s="7" t="s">
        <v>81</v>
      </c>
      <c r="AV6" s="3" t="s">
        <v>80</v>
      </c>
      <c r="AW6" s="4" t="s">
        <v>80</v>
      </c>
      <c r="AX6" s="5" t="s">
        <v>80</v>
      </c>
      <c r="AY6" s="6" t="s">
        <v>79</v>
      </c>
      <c r="AZ6" s="1" t="s">
        <v>79</v>
      </c>
      <c r="BA6" s="7" t="s">
        <v>79</v>
      </c>
      <c r="BB6" s="3" t="s">
        <v>85</v>
      </c>
      <c r="BC6" s="4" t="s">
        <v>85</v>
      </c>
      <c r="BD6" s="5" t="s">
        <v>85</v>
      </c>
      <c r="BE6" s="6" t="s">
        <v>77</v>
      </c>
      <c r="BF6" s="1" t="s">
        <v>77</v>
      </c>
      <c r="BG6" s="7" t="s">
        <v>77</v>
      </c>
    </row>
    <row r="7" spans="1:59" hidden="1">
      <c r="A7" s="30" t="s">
        <v>86</v>
      </c>
      <c r="B7" s="3" t="s">
        <v>87</v>
      </c>
      <c r="C7" s="4" t="s">
        <v>87</v>
      </c>
      <c r="D7" s="5" t="s">
        <v>87</v>
      </c>
      <c r="E7" s="6" t="s">
        <v>88</v>
      </c>
      <c r="F7" s="1" t="s">
        <v>88</v>
      </c>
      <c r="G7" s="7" t="s">
        <v>88</v>
      </c>
      <c r="H7" s="3" t="s">
        <v>89</v>
      </c>
      <c r="I7" s="4" t="s">
        <v>89</v>
      </c>
      <c r="J7" s="5" t="s">
        <v>89</v>
      </c>
      <c r="K7" s="6" t="s">
        <v>90</v>
      </c>
      <c r="L7" s="1" t="s">
        <v>90</v>
      </c>
      <c r="M7" s="7" t="s">
        <v>90</v>
      </c>
      <c r="N7" s="3" t="s">
        <v>91</v>
      </c>
      <c r="O7" s="4" t="s">
        <v>91</v>
      </c>
      <c r="P7" s="5" t="s">
        <v>91</v>
      </c>
      <c r="Q7" s="6" t="s">
        <v>92</v>
      </c>
      <c r="R7" s="1" t="s">
        <v>92</v>
      </c>
      <c r="S7" s="7" t="s">
        <v>92</v>
      </c>
      <c r="T7" s="3" t="s">
        <v>89</v>
      </c>
      <c r="U7" s="4" t="s">
        <v>90</v>
      </c>
      <c r="V7" s="5" t="s">
        <v>91</v>
      </c>
      <c r="W7" s="6" t="s">
        <v>90</v>
      </c>
      <c r="X7" s="1" t="s">
        <v>91</v>
      </c>
      <c r="Y7" s="7" t="s">
        <v>92</v>
      </c>
      <c r="Z7" s="3" t="s">
        <v>88</v>
      </c>
      <c r="AA7" s="4" t="s">
        <v>88</v>
      </c>
      <c r="AB7" s="5" t="s">
        <v>88</v>
      </c>
      <c r="AC7" s="6" t="s">
        <v>93</v>
      </c>
      <c r="AD7" s="1" t="s">
        <v>93</v>
      </c>
      <c r="AE7" s="7" t="s">
        <v>93</v>
      </c>
      <c r="AF7" s="3" t="s">
        <v>94</v>
      </c>
      <c r="AG7" s="4" t="s">
        <v>94</v>
      </c>
      <c r="AH7" s="5" t="s">
        <v>94</v>
      </c>
      <c r="AI7" s="6" t="s">
        <v>95</v>
      </c>
      <c r="AJ7" s="1" t="s">
        <v>95</v>
      </c>
      <c r="AK7" s="7" t="s">
        <v>95</v>
      </c>
      <c r="AL7" s="3" t="s">
        <v>96</v>
      </c>
      <c r="AM7" s="5" t="s">
        <v>96</v>
      </c>
      <c r="AN7" s="6" t="s">
        <v>95</v>
      </c>
      <c r="AO7" s="7" t="s">
        <v>95</v>
      </c>
      <c r="AP7" s="3" t="s">
        <v>93</v>
      </c>
      <c r="AQ7" s="4" t="s">
        <v>93</v>
      </c>
      <c r="AR7" s="5" t="s">
        <v>93</v>
      </c>
      <c r="AS7" s="6" t="s">
        <v>92</v>
      </c>
      <c r="AT7" s="1" t="s">
        <v>92</v>
      </c>
      <c r="AU7" s="7" t="s">
        <v>92</v>
      </c>
      <c r="AV7" s="3" t="s">
        <v>91</v>
      </c>
      <c r="AW7" s="4" t="s">
        <v>91</v>
      </c>
      <c r="AX7" s="5" t="s">
        <v>91</v>
      </c>
      <c r="AY7" s="6" t="s">
        <v>90</v>
      </c>
      <c r="AZ7" s="1" t="s">
        <v>90</v>
      </c>
      <c r="BA7" s="7" t="s">
        <v>90</v>
      </c>
      <c r="BB7" s="3" t="s">
        <v>96</v>
      </c>
      <c r="BC7" s="4" t="s">
        <v>96</v>
      </c>
      <c r="BD7" s="5" t="s">
        <v>96</v>
      </c>
      <c r="BE7" s="6" t="s">
        <v>88</v>
      </c>
      <c r="BF7" s="1" t="s">
        <v>88</v>
      </c>
      <c r="BG7" s="7" t="s">
        <v>88</v>
      </c>
    </row>
    <row r="8" spans="1:59" hidden="1">
      <c r="A8" s="30" t="s">
        <v>97</v>
      </c>
      <c r="B8" s="3" t="s">
        <v>98</v>
      </c>
      <c r="C8" s="4" t="s">
        <v>98</v>
      </c>
      <c r="D8" s="5" t="s">
        <v>98</v>
      </c>
      <c r="E8" s="6" t="s">
        <v>99</v>
      </c>
      <c r="F8" s="1" t="s">
        <v>99</v>
      </c>
      <c r="G8" s="7" t="s">
        <v>99</v>
      </c>
      <c r="H8" s="3" t="s">
        <v>100</v>
      </c>
      <c r="I8" s="4" t="s">
        <v>100</v>
      </c>
      <c r="J8" s="5" t="s">
        <v>100</v>
      </c>
      <c r="K8" s="6" t="s">
        <v>101</v>
      </c>
      <c r="L8" s="1" t="s">
        <v>101</v>
      </c>
      <c r="M8" s="7" t="s">
        <v>101</v>
      </c>
      <c r="N8" s="3" t="s">
        <v>102</v>
      </c>
      <c r="O8" s="4" t="s">
        <v>102</v>
      </c>
      <c r="P8" s="5" t="s">
        <v>102</v>
      </c>
      <c r="Q8" s="6" t="s">
        <v>103</v>
      </c>
      <c r="R8" s="1" t="s">
        <v>103</v>
      </c>
      <c r="S8" s="7" t="s">
        <v>103</v>
      </c>
      <c r="T8" s="3" t="s">
        <v>100</v>
      </c>
      <c r="U8" s="4" t="s">
        <v>101</v>
      </c>
      <c r="V8" s="5" t="s">
        <v>102</v>
      </c>
      <c r="W8" s="6" t="s">
        <v>101</v>
      </c>
      <c r="X8" s="1" t="s">
        <v>102</v>
      </c>
      <c r="Y8" s="7" t="s">
        <v>103</v>
      </c>
      <c r="Z8" s="3" t="s">
        <v>99</v>
      </c>
      <c r="AA8" s="4" t="s">
        <v>99</v>
      </c>
      <c r="AB8" s="5" t="s">
        <v>99</v>
      </c>
      <c r="AC8" s="6" t="s">
        <v>104</v>
      </c>
      <c r="AD8" s="1" t="s">
        <v>104</v>
      </c>
      <c r="AE8" s="7" t="s">
        <v>104</v>
      </c>
      <c r="AF8" s="3" t="s">
        <v>105</v>
      </c>
      <c r="AG8" s="4" t="s">
        <v>105</v>
      </c>
      <c r="AH8" s="5" t="s">
        <v>105</v>
      </c>
      <c r="AI8" s="6" t="s">
        <v>106</v>
      </c>
      <c r="AJ8" s="1" t="s">
        <v>106</v>
      </c>
      <c r="AK8" s="7" t="s">
        <v>106</v>
      </c>
      <c r="AL8" s="3" t="s">
        <v>107</v>
      </c>
      <c r="AM8" s="5" t="s">
        <v>107</v>
      </c>
      <c r="AN8" s="6" t="s">
        <v>106</v>
      </c>
      <c r="AO8" s="7" t="s">
        <v>106</v>
      </c>
      <c r="AP8" s="3" t="s">
        <v>104</v>
      </c>
      <c r="AQ8" s="4" t="s">
        <v>104</v>
      </c>
      <c r="AR8" s="5" t="s">
        <v>104</v>
      </c>
      <c r="AS8" s="6" t="s">
        <v>103</v>
      </c>
      <c r="AT8" s="1" t="s">
        <v>103</v>
      </c>
      <c r="AU8" s="7" t="s">
        <v>103</v>
      </c>
      <c r="AV8" s="3" t="s">
        <v>102</v>
      </c>
      <c r="AW8" s="4" t="s">
        <v>102</v>
      </c>
      <c r="AX8" s="5" t="s">
        <v>102</v>
      </c>
      <c r="AY8" s="6" t="s">
        <v>101</v>
      </c>
      <c r="AZ8" s="1" t="s">
        <v>101</v>
      </c>
      <c r="BA8" s="7" t="s">
        <v>101</v>
      </c>
      <c r="BB8" s="3" t="s">
        <v>107</v>
      </c>
      <c r="BC8" s="4" t="s">
        <v>107</v>
      </c>
      <c r="BD8" s="5" t="s">
        <v>107</v>
      </c>
      <c r="BE8" s="6" t="s">
        <v>99</v>
      </c>
      <c r="BF8" s="1" t="s">
        <v>99</v>
      </c>
      <c r="BG8" s="7" t="s">
        <v>99</v>
      </c>
    </row>
    <row r="9" spans="1:59">
      <c r="A9" s="30" t="s">
        <v>108</v>
      </c>
      <c r="B9" s="3" t="s">
        <v>109</v>
      </c>
      <c r="C9" s="4" t="s">
        <v>109</v>
      </c>
      <c r="D9" s="5" t="s">
        <v>109</v>
      </c>
      <c r="E9" s="6" t="s">
        <v>110</v>
      </c>
      <c r="F9" s="1" t="s">
        <v>110</v>
      </c>
      <c r="G9" s="7" t="s">
        <v>110</v>
      </c>
      <c r="H9" s="3" t="s">
        <v>111</v>
      </c>
      <c r="I9" s="4" t="s">
        <v>111</v>
      </c>
      <c r="J9" s="5" t="s">
        <v>111</v>
      </c>
      <c r="K9" s="6" t="s">
        <v>112</v>
      </c>
      <c r="L9" s="1" t="s">
        <v>112</v>
      </c>
      <c r="M9" s="7" t="s">
        <v>112</v>
      </c>
      <c r="N9" s="3" t="s">
        <v>113</v>
      </c>
      <c r="O9" s="4" t="s">
        <v>113</v>
      </c>
      <c r="P9" s="5" t="s">
        <v>113</v>
      </c>
      <c r="Q9" s="6" t="s">
        <v>114</v>
      </c>
      <c r="R9" s="1" t="s">
        <v>114</v>
      </c>
      <c r="S9" s="7" t="s">
        <v>114</v>
      </c>
      <c r="T9" s="3" t="s">
        <v>115</v>
      </c>
      <c r="U9" s="4" t="s">
        <v>115</v>
      </c>
      <c r="V9" s="5" t="s">
        <v>115</v>
      </c>
      <c r="W9" s="6" t="s">
        <v>116</v>
      </c>
      <c r="X9" s="1" t="s">
        <v>116</v>
      </c>
      <c r="Y9" s="7" t="s">
        <v>116</v>
      </c>
      <c r="Z9" s="3" t="s">
        <v>117</v>
      </c>
      <c r="AA9" s="4" t="s">
        <v>117</v>
      </c>
      <c r="AB9" s="5" t="s">
        <v>117</v>
      </c>
      <c r="AC9" s="6" t="s">
        <v>118</v>
      </c>
      <c r="AD9" s="1" t="s">
        <v>118</v>
      </c>
      <c r="AE9" s="7" t="s">
        <v>118</v>
      </c>
      <c r="AF9" s="3" t="s">
        <v>119</v>
      </c>
      <c r="AG9" s="4" t="s">
        <v>119</v>
      </c>
      <c r="AH9" s="5" t="s">
        <v>119</v>
      </c>
      <c r="AI9" s="6" t="s">
        <v>120</v>
      </c>
      <c r="AJ9" s="1" t="s">
        <v>120</v>
      </c>
      <c r="AK9" s="7" t="s">
        <v>120</v>
      </c>
      <c r="AL9" s="3" t="s">
        <v>121</v>
      </c>
      <c r="AM9" s="5" t="s">
        <v>121</v>
      </c>
      <c r="AN9" s="6" t="s">
        <v>122</v>
      </c>
      <c r="AO9" s="7" t="s">
        <v>122</v>
      </c>
      <c r="AP9" s="3" t="s">
        <v>123</v>
      </c>
      <c r="AQ9" s="4" t="s">
        <v>123</v>
      </c>
      <c r="AR9" s="5" t="s">
        <v>123</v>
      </c>
      <c r="AS9" s="6" t="s">
        <v>124</v>
      </c>
      <c r="AT9" s="1" t="s">
        <v>124</v>
      </c>
      <c r="AU9" s="7" t="s">
        <v>124</v>
      </c>
      <c r="AV9" s="3" t="s">
        <v>125</v>
      </c>
      <c r="AW9" s="4" t="s">
        <v>125</v>
      </c>
      <c r="AX9" s="5" t="s">
        <v>125</v>
      </c>
      <c r="AY9" s="6" t="s">
        <v>126</v>
      </c>
      <c r="AZ9" s="1" t="s">
        <v>126</v>
      </c>
      <c r="BA9" s="7" t="s">
        <v>126</v>
      </c>
      <c r="BB9" s="3" t="s">
        <v>127</v>
      </c>
      <c r="BC9" s="4" t="s">
        <v>127</v>
      </c>
      <c r="BD9" s="5" t="s">
        <v>127</v>
      </c>
      <c r="BE9" s="6" t="s">
        <v>128</v>
      </c>
      <c r="BF9" s="1" t="s">
        <v>128</v>
      </c>
      <c r="BG9" s="7" t="s">
        <v>128</v>
      </c>
    </row>
    <row r="10" spans="1:59">
      <c r="A10" s="30" t="s">
        <v>129</v>
      </c>
      <c r="B10" s="3" t="s">
        <v>130</v>
      </c>
      <c r="C10" s="4" t="s">
        <v>130</v>
      </c>
      <c r="D10" s="5" t="s">
        <v>130</v>
      </c>
      <c r="E10" s="6" t="s">
        <v>131</v>
      </c>
      <c r="F10" s="1" t="s">
        <v>131</v>
      </c>
      <c r="G10" s="7" t="s">
        <v>131</v>
      </c>
      <c r="H10" s="3" t="s">
        <v>132</v>
      </c>
      <c r="I10" s="4" t="s">
        <v>132</v>
      </c>
      <c r="J10" s="5" t="s">
        <v>132</v>
      </c>
      <c r="K10" s="6" t="s">
        <v>133</v>
      </c>
      <c r="L10" s="1" t="s">
        <v>133</v>
      </c>
      <c r="M10" s="7" t="s">
        <v>133</v>
      </c>
      <c r="N10" s="3" t="s">
        <v>134</v>
      </c>
      <c r="O10" s="4" t="s">
        <v>134</v>
      </c>
      <c r="P10" s="5" t="s">
        <v>134</v>
      </c>
      <c r="Q10" s="6" t="s">
        <v>135</v>
      </c>
      <c r="R10" s="1" t="s">
        <v>135</v>
      </c>
      <c r="S10" s="7" t="s">
        <v>135</v>
      </c>
      <c r="T10" s="3" t="s">
        <v>136</v>
      </c>
      <c r="U10" s="4" t="s">
        <v>136</v>
      </c>
      <c r="V10" s="5" t="s">
        <v>136</v>
      </c>
      <c r="W10" s="6" t="s">
        <v>137</v>
      </c>
      <c r="X10" s="1" t="s">
        <v>137</v>
      </c>
      <c r="Y10" s="7" t="s">
        <v>137</v>
      </c>
      <c r="Z10" s="3" t="s">
        <v>138</v>
      </c>
      <c r="AA10" s="4" t="s">
        <v>138</v>
      </c>
      <c r="AB10" s="5" t="s">
        <v>138</v>
      </c>
      <c r="AC10" s="6" t="s">
        <v>139</v>
      </c>
      <c r="AD10" s="1" t="s">
        <v>139</v>
      </c>
      <c r="AE10" s="7" t="s">
        <v>139</v>
      </c>
      <c r="AF10" s="3" t="s">
        <v>140</v>
      </c>
      <c r="AG10" s="4" t="s">
        <v>140</v>
      </c>
      <c r="AH10" s="5" t="s">
        <v>140</v>
      </c>
      <c r="AI10" s="6" t="s">
        <v>141</v>
      </c>
      <c r="AJ10" s="1" t="s">
        <v>141</v>
      </c>
      <c r="AK10" s="7" t="s">
        <v>141</v>
      </c>
      <c r="AL10" s="3" t="s">
        <v>142</v>
      </c>
      <c r="AM10" s="5" t="s">
        <v>142</v>
      </c>
      <c r="AN10" s="6" t="s">
        <v>143</v>
      </c>
      <c r="AO10" s="7" t="s">
        <v>143</v>
      </c>
      <c r="AP10" s="3" t="s">
        <v>144</v>
      </c>
      <c r="AQ10" s="4" t="s">
        <v>144</v>
      </c>
      <c r="AR10" s="5" t="s">
        <v>144</v>
      </c>
      <c r="AS10" s="6" t="s">
        <v>145</v>
      </c>
      <c r="AT10" s="1" t="s">
        <v>145</v>
      </c>
      <c r="AU10" s="7" t="s">
        <v>145</v>
      </c>
      <c r="AV10" s="3" t="s">
        <v>146</v>
      </c>
      <c r="AW10" s="4" t="s">
        <v>146</v>
      </c>
      <c r="AX10" s="5" t="s">
        <v>146</v>
      </c>
      <c r="AY10" s="6" t="s">
        <v>147</v>
      </c>
      <c r="AZ10" s="1" t="s">
        <v>147</v>
      </c>
      <c r="BA10" s="7" t="s">
        <v>147</v>
      </c>
      <c r="BB10" s="3" t="s">
        <v>148</v>
      </c>
      <c r="BC10" s="4" t="s">
        <v>148</v>
      </c>
      <c r="BD10" s="5" t="s">
        <v>148</v>
      </c>
      <c r="BE10" s="6" t="s">
        <v>149</v>
      </c>
      <c r="BF10" s="1" t="s">
        <v>149</v>
      </c>
      <c r="BG10" s="7" t="s">
        <v>149</v>
      </c>
    </row>
    <row r="11" spans="1:59">
      <c r="A11" s="30" t="s">
        <v>150</v>
      </c>
      <c r="B11" s="3" t="s">
        <v>151</v>
      </c>
      <c r="C11" s="4" t="s">
        <v>152</v>
      </c>
      <c r="D11" s="5" t="s">
        <v>153</v>
      </c>
      <c r="E11" s="6" t="s">
        <v>151</v>
      </c>
      <c r="F11" s="1" t="s">
        <v>152</v>
      </c>
      <c r="G11" s="7" t="s">
        <v>153</v>
      </c>
      <c r="H11" s="3" t="s">
        <v>151</v>
      </c>
      <c r="I11" s="4" t="s">
        <v>152</v>
      </c>
      <c r="J11" s="5" t="s">
        <v>153</v>
      </c>
      <c r="K11" s="6" t="s">
        <v>151</v>
      </c>
      <c r="L11" s="1" t="s">
        <v>152</v>
      </c>
      <c r="M11" s="7" t="s">
        <v>153</v>
      </c>
      <c r="N11" s="3" t="s">
        <v>151</v>
      </c>
      <c r="O11" s="4" t="s">
        <v>152</v>
      </c>
      <c r="P11" s="5" t="s">
        <v>153</v>
      </c>
      <c r="Q11" s="6" t="s">
        <v>151</v>
      </c>
      <c r="R11" s="1" t="s">
        <v>152</v>
      </c>
      <c r="S11" s="7" t="s">
        <v>153</v>
      </c>
      <c r="T11" s="20" t="s">
        <v>153</v>
      </c>
      <c r="U11" s="4" t="s">
        <v>152</v>
      </c>
      <c r="V11" s="21" t="s">
        <v>151</v>
      </c>
      <c r="W11" s="6" t="s">
        <v>151</v>
      </c>
      <c r="X11" s="1" t="s">
        <v>152</v>
      </c>
      <c r="Y11" s="7" t="s">
        <v>153</v>
      </c>
      <c r="Z11" s="3" t="s">
        <v>151</v>
      </c>
      <c r="AA11" s="4" t="s">
        <v>152</v>
      </c>
      <c r="AB11" s="5" t="s">
        <v>153</v>
      </c>
      <c r="AC11" s="6" t="s">
        <v>151</v>
      </c>
      <c r="AD11" s="1" t="s">
        <v>152</v>
      </c>
      <c r="AE11" s="7" t="s">
        <v>153</v>
      </c>
      <c r="AF11" s="3" t="s">
        <v>151</v>
      </c>
      <c r="AG11" s="4" t="s">
        <v>152</v>
      </c>
      <c r="AH11" s="5" t="s">
        <v>153</v>
      </c>
      <c r="AI11" s="6" t="s">
        <v>151</v>
      </c>
      <c r="AJ11" s="1" t="s">
        <v>152</v>
      </c>
      <c r="AK11" s="7" t="s">
        <v>153</v>
      </c>
      <c r="AL11" s="3" t="s">
        <v>151</v>
      </c>
      <c r="AM11" s="5" t="s">
        <v>152</v>
      </c>
      <c r="AN11" s="6" t="s">
        <v>151</v>
      </c>
      <c r="AO11" s="7" t="s">
        <v>152</v>
      </c>
      <c r="AP11" s="3" t="s">
        <v>151</v>
      </c>
      <c r="AQ11" s="4" t="s">
        <v>152</v>
      </c>
      <c r="AR11" s="5" t="s">
        <v>153</v>
      </c>
      <c r="AS11" s="6" t="s">
        <v>151</v>
      </c>
      <c r="AT11" s="1" t="s">
        <v>152</v>
      </c>
      <c r="AU11" s="7" t="s">
        <v>153</v>
      </c>
      <c r="AV11" s="3" t="s">
        <v>151</v>
      </c>
      <c r="AW11" s="4" t="s">
        <v>152</v>
      </c>
      <c r="AX11" s="5" t="s">
        <v>153</v>
      </c>
      <c r="AY11" s="6" t="s">
        <v>151</v>
      </c>
      <c r="AZ11" s="1" t="s">
        <v>152</v>
      </c>
      <c r="BA11" s="7" t="s">
        <v>153</v>
      </c>
      <c r="BB11" s="3" t="s">
        <v>151</v>
      </c>
      <c r="BC11" s="4" t="s">
        <v>152</v>
      </c>
      <c r="BD11" s="5" t="s">
        <v>153</v>
      </c>
      <c r="BE11" s="6" t="s">
        <v>151</v>
      </c>
      <c r="BF11" s="1" t="s">
        <v>152</v>
      </c>
      <c r="BG11" s="7" t="s">
        <v>153</v>
      </c>
    </row>
    <row r="12" spans="1:59">
      <c r="A12" s="30" t="s">
        <v>154</v>
      </c>
      <c r="B12" s="3" t="s">
        <v>155</v>
      </c>
      <c r="C12" s="4" t="s">
        <v>155</v>
      </c>
      <c r="D12" s="5" t="s">
        <v>155</v>
      </c>
      <c r="E12" s="6" t="s">
        <v>155</v>
      </c>
      <c r="F12" s="1" t="s">
        <v>155</v>
      </c>
      <c r="G12" s="7" t="s">
        <v>155</v>
      </c>
      <c r="H12" s="3" t="s">
        <v>155</v>
      </c>
      <c r="I12" s="4" t="s">
        <v>155</v>
      </c>
      <c r="J12" s="5" t="s">
        <v>155</v>
      </c>
      <c r="K12" s="6" t="s">
        <v>155</v>
      </c>
      <c r="L12" s="1" t="s">
        <v>155</v>
      </c>
      <c r="M12" s="7" t="s">
        <v>155</v>
      </c>
      <c r="N12" s="3" t="s">
        <v>155</v>
      </c>
      <c r="O12" s="4" t="s">
        <v>155</v>
      </c>
      <c r="P12" s="5" t="s">
        <v>155</v>
      </c>
      <c r="Q12" s="6" t="s">
        <v>155</v>
      </c>
      <c r="R12" s="1" t="s">
        <v>155</v>
      </c>
      <c r="S12" s="7" t="s">
        <v>155</v>
      </c>
      <c r="T12" s="3" t="s">
        <v>155</v>
      </c>
      <c r="U12" s="4" t="s">
        <v>155</v>
      </c>
      <c r="V12" s="5" t="s">
        <v>155</v>
      </c>
      <c r="W12" s="6" t="s">
        <v>155</v>
      </c>
      <c r="X12" s="1" t="s">
        <v>155</v>
      </c>
      <c r="Y12" s="7" t="s">
        <v>155</v>
      </c>
      <c r="Z12" s="3" t="s">
        <v>155</v>
      </c>
      <c r="AA12" s="4" t="s">
        <v>155</v>
      </c>
      <c r="AB12" s="5" t="s">
        <v>156</v>
      </c>
      <c r="AC12" s="6" t="s">
        <v>155</v>
      </c>
      <c r="AD12" s="1" t="s">
        <v>155</v>
      </c>
      <c r="AE12" s="7" t="s">
        <v>156</v>
      </c>
      <c r="AF12" s="3" t="s">
        <v>155</v>
      </c>
      <c r="AG12" s="4" t="s">
        <v>155</v>
      </c>
      <c r="AH12" s="5" t="s">
        <v>156</v>
      </c>
      <c r="AI12" s="6" t="s">
        <v>155</v>
      </c>
      <c r="AJ12" s="1" t="s">
        <v>155</v>
      </c>
      <c r="AK12" s="7" t="s">
        <v>156</v>
      </c>
      <c r="AL12" s="3" t="s">
        <v>155</v>
      </c>
      <c r="AM12" s="5" t="s">
        <v>155</v>
      </c>
      <c r="AN12" s="6" t="s">
        <v>155</v>
      </c>
      <c r="AO12" s="7" t="s">
        <v>155</v>
      </c>
      <c r="AP12" s="3" t="s">
        <v>155</v>
      </c>
      <c r="AQ12" s="4" t="s">
        <v>156</v>
      </c>
      <c r="AR12" s="5" t="s">
        <v>156</v>
      </c>
      <c r="AS12" s="6" t="s">
        <v>155</v>
      </c>
      <c r="AT12" s="1" t="s">
        <v>156</v>
      </c>
      <c r="AU12" s="7" t="s">
        <v>156</v>
      </c>
      <c r="AV12" s="3" t="s">
        <v>155</v>
      </c>
      <c r="AW12" s="4" t="s">
        <v>156</v>
      </c>
      <c r="AX12" s="5" t="s">
        <v>156</v>
      </c>
      <c r="AY12" s="6" t="s">
        <v>155</v>
      </c>
      <c r="AZ12" s="1" t="s">
        <v>156</v>
      </c>
      <c r="BA12" s="7" t="s">
        <v>156</v>
      </c>
      <c r="BB12" s="3" t="s">
        <v>156</v>
      </c>
      <c r="BC12" s="4" t="s">
        <v>156</v>
      </c>
      <c r="BD12" s="5" t="s">
        <v>156</v>
      </c>
      <c r="BE12" s="6" t="s">
        <v>156</v>
      </c>
      <c r="BF12" s="1" t="s">
        <v>156</v>
      </c>
      <c r="BG12" s="7" t="s">
        <v>156</v>
      </c>
    </row>
    <row r="13" spans="1:59">
      <c r="A13" s="30" t="s">
        <v>157</v>
      </c>
      <c r="B13" s="3" t="s">
        <v>158</v>
      </c>
      <c r="C13" s="4" t="s">
        <v>158</v>
      </c>
      <c r="D13" s="5" t="s">
        <v>158</v>
      </c>
      <c r="E13" s="6" t="s">
        <v>158</v>
      </c>
      <c r="F13" s="1" t="s">
        <v>158</v>
      </c>
      <c r="G13" s="7" t="s">
        <v>158</v>
      </c>
      <c r="H13" s="3" t="s">
        <v>158</v>
      </c>
      <c r="I13" s="4" t="s">
        <v>158</v>
      </c>
      <c r="J13" s="5" t="s">
        <v>158</v>
      </c>
      <c r="K13" s="6" t="s">
        <v>158</v>
      </c>
      <c r="L13" s="1" t="s">
        <v>158</v>
      </c>
      <c r="M13" s="7" t="s">
        <v>158</v>
      </c>
      <c r="N13" s="3" t="s">
        <v>158</v>
      </c>
      <c r="O13" s="4" t="s">
        <v>158</v>
      </c>
      <c r="P13" s="5" t="s">
        <v>158</v>
      </c>
      <c r="Q13" s="6" t="s">
        <v>158</v>
      </c>
      <c r="R13" s="1" t="s">
        <v>158</v>
      </c>
      <c r="S13" s="7" t="s">
        <v>158</v>
      </c>
      <c r="T13" s="3" t="s">
        <v>158</v>
      </c>
      <c r="U13" s="4" t="s">
        <v>158</v>
      </c>
      <c r="V13" s="5" t="s">
        <v>158</v>
      </c>
      <c r="W13" s="6" t="s">
        <v>158</v>
      </c>
      <c r="X13" s="1" t="s">
        <v>158</v>
      </c>
      <c r="Y13" s="7" t="s">
        <v>158</v>
      </c>
      <c r="Z13" s="3" t="s">
        <v>158</v>
      </c>
      <c r="AA13" s="4" t="s">
        <v>158</v>
      </c>
      <c r="AB13" s="5">
        <v>0</v>
      </c>
      <c r="AC13" s="6" t="s">
        <v>158</v>
      </c>
      <c r="AD13" s="1" t="s">
        <v>158</v>
      </c>
      <c r="AE13" s="7">
        <v>0</v>
      </c>
      <c r="AF13" s="3" t="s">
        <v>158</v>
      </c>
      <c r="AG13" s="4" t="s">
        <v>158</v>
      </c>
      <c r="AH13" s="5">
        <v>0</v>
      </c>
      <c r="AI13" s="6" t="s">
        <v>158</v>
      </c>
      <c r="AJ13" s="1" t="s">
        <v>158</v>
      </c>
      <c r="AK13" s="7">
        <v>0</v>
      </c>
      <c r="AL13" s="3" t="s">
        <v>158</v>
      </c>
      <c r="AM13" s="5" t="s">
        <v>158</v>
      </c>
      <c r="AN13" s="6" t="s">
        <v>158</v>
      </c>
      <c r="AO13" s="7" t="s">
        <v>158</v>
      </c>
      <c r="AP13" s="3" t="s">
        <v>158</v>
      </c>
      <c r="AQ13" s="4">
        <v>0</v>
      </c>
      <c r="AR13" s="5">
        <v>0</v>
      </c>
      <c r="AS13" s="6" t="s">
        <v>158</v>
      </c>
      <c r="AT13" s="1">
        <v>0</v>
      </c>
      <c r="AU13" s="7">
        <v>0</v>
      </c>
      <c r="AV13" s="3" t="s">
        <v>158</v>
      </c>
      <c r="AW13" s="4">
        <v>0</v>
      </c>
      <c r="AX13" s="5">
        <v>0</v>
      </c>
      <c r="AY13" s="6" t="s">
        <v>158</v>
      </c>
      <c r="AZ13" s="1">
        <v>0</v>
      </c>
      <c r="BA13" s="7">
        <v>0</v>
      </c>
      <c r="BB13" s="3">
        <v>0</v>
      </c>
      <c r="BC13" s="4">
        <v>0</v>
      </c>
      <c r="BD13" s="5">
        <v>0</v>
      </c>
      <c r="BE13" s="6">
        <v>0</v>
      </c>
      <c r="BF13" s="1">
        <v>0</v>
      </c>
      <c r="BG13" s="7">
        <v>0</v>
      </c>
    </row>
    <row r="14" spans="1:59">
      <c r="A14" s="30" t="s">
        <v>159</v>
      </c>
      <c r="B14" s="3" t="s">
        <v>160</v>
      </c>
      <c r="C14" s="4" t="s">
        <v>161</v>
      </c>
      <c r="D14" s="5" t="s">
        <v>161</v>
      </c>
      <c r="E14" s="6" t="s">
        <v>161</v>
      </c>
      <c r="F14" s="1" t="s">
        <v>161</v>
      </c>
      <c r="G14" s="7" t="s">
        <v>161</v>
      </c>
      <c r="H14" s="3" t="s">
        <v>161</v>
      </c>
      <c r="I14" s="4" t="s">
        <v>161</v>
      </c>
      <c r="J14" s="5" t="s">
        <v>161</v>
      </c>
      <c r="K14" s="6" t="s">
        <v>161</v>
      </c>
      <c r="L14" s="1" t="s">
        <v>161</v>
      </c>
      <c r="M14" s="7" t="s">
        <v>161</v>
      </c>
      <c r="N14" s="3" t="s">
        <v>161</v>
      </c>
      <c r="O14" s="4" t="s">
        <v>161</v>
      </c>
      <c r="P14" s="5" t="s">
        <v>161</v>
      </c>
      <c r="Q14" s="6" t="s">
        <v>161</v>
      </c>
      <c r="R14" s="1" t="s">
        <v>161</v>
      </c>
      <c r="S14" s="7" t="s">
        <v>161</v>
      </c>
      <c r="T14" s="3" t="s">
        <v>161</v>
      </c>
      <c r="U14" s="4" t="s">
        <v>161</v>
      </c>
      <c r="V14" s="5" t="s">
        <v>161</v>
      </c>
      <c r="W14" s="6" t="s">
        <v>161</v>
      </c>
      <c r="X14" s="1" t="s">
        <v>161</v>
      </c>
      <c r="Y14" s="7" t="s">
        <v>161</v>
      </c>
      <c r="Z14" s="3" t="s">
        <v>161</v>
      </c>
      <c r="AA14" s="4" t="s">
        <v>161</v>
      </c>
      <c r="AB14" s="5" t="s">
        <v>161</v>
      </c>
      <c r="AC14" s="6" t="s">
        <v>161</v>
      </c>
      <c r="AD14" s="1" t="s">
        <v>161</v>
      </c>
      <c r="AE14" s="7" t="s">
        <v>161</v>
      </c>
      <c r="AF14" s="3" t="s">
        <v>161</v>
      </c>
      <c r="AG14" s="4" t="s">
        <v>161</v>
      </c>
      <c r="AH14" s="5" t="s">
        <v>161</v>
      </c>
      <c r="AI14" s="6" t="s">
        <v>161</v>
      </c>
      <c r="AJ14" s="1" t="s">
        <v>161</v>
      </c>
      <c r="AK14" s="7" t="s">
        <v>161</v>
      </c>
      <c r="AL14" s="3" t="s">
        <v>161</v>
      </c>
      <c r="AM14" s="5" t="s">
        <v>161</v>
      </c>
      <c r="AN14" s="6" t="s">
        <v>161</v>
      </c>
      <c r="AO14" s="7" t="s">
        <v>161</v>
      </c>
      <c r="AP14" s="3" t="s">
        <v>161</v>
      </c>
      <c r="AQ14" s="4" t="s">
        <v>161</v>
      </c>
      <c r="AR14" s="5" t="s">
        <v>161</v>
      </c>
      <c r="AS14" s="6" t="s">
        <v>161</v>
      </c>
      <c r="AT14" s="1" t="s">
        <v>161</v>
      </c>
      <c r="AU14" s="7" t="s">
        <v>161</v>
      </c>
      <c r="AV14" s="3" t="s">
        <v>161</v>
      </c>
      <c r="AW14" s="4" t="s">
        <v>161</v>
      </c>
      <c r="AX14" s="5" t="s">
        <v>161</v>
      </c>
      <c r="AY14" s="6" t="s">
        <v>161</v>
      </c>
      <c r="AZ14" s="1" t="s">
        <v>161</v>
      </c>
      <c r="BA14" s="7" t="s">
        <v>161</v>
      </c>
      <c r="BB14" s="3" t="s">
        <v>161</v>
      </c>
      <c r="BC14" s="4" t="s">
        <v>161</v>
      </c>
      <c r="BD14" s="5" t="s">
        <v>161</v>
      </c>
      <c r="BE14" s="6" t="s">
        <v>161</v>
      </c>
      <c r="BF14" s="1" t="s">
        <v>161</v>
      </c>
      <c r="BG14" s="7" t="s">
        <v>161</v>
      </c>
    </row>
    <row r="15" spans="1:59">
      <c r="A15" s="30" t="s">
        <v>164</v>
      </c>
      <c r="B15" s="3"/>
      <c r="C15" s="4"/>
      <c r="D15" s="5"/>
      <c r="E15" s="6"/>
      <c r="F15" s="1"/>
      <c r="G15" s="7"/>
      <c r="H15" s="3"/>
      <c r="I15" s="4"/>
      <c r="J15" s="5"/>
      <c r="K15" s="6"/>
      <c r="L15" s="1"/>
      <c r="M15" s="7"/>
      <c r="N15" s="3"/>
      <c r="O15" s="4"/>
      <c r="P15" s="5"/>
      <c r="Q15" s="6"/>
      <c r="R15" s="1"/>
      <c r="S15" s="7"/>
      <c r="T15" s="3"/>
      <c r="U15" s="4"/>
      <c r="V15" s="5"/>
      <c r="W15" s="6"/>
      <c r="X15" s="1"/>
      <c r="Y15" s="7"/>
      <c r="Z15" s="3"/>
      <c r="AA15" s="4"/>
      <c r="AB15" s="5"/>
      <c r="AC15" s="6"/>
      <c r="AD15" s="1"/>
      <c r="AE15" s="7"/>
      <c r="AF15" s="3"/>
      <c r="AG15" s="4"/>
      <c r="AH15" s="5"/>
      <c r="AI15" s="6"/>
      <c r="AJ15" s="1"/>
      <c r="AK15" s="7"/>
      <c r="AL15" s="3"/>
      <c r="AM15" s="5"/>
      <c r="AN15" s="6"/>
      <c r="AO15" s="7"/>
      <c r="AP15" s="3"/>
      <c r="AQ15" s="4"/>
      <c r="AR15" s="5"/>
      <c r="AS15" s="6"/>
      <c r="AT15" s="1"/>
      <c r="AU15" s="7"/>
      <c r="AV15" s="3"/>
      <c r="AW15" s="4"/>
      <c r="AX15" s="5"/>
      <c r="AY15" s="6"/>
      <c r="AZ15" s="1"/>
      <c r="BA15" s="7"/>
      <c r="BB15" s="3"/>
      <c r="BC15" s="4"/>
      <c r="BD15" s="5"/>
      <c r="BE15" s="6"/>
      <c r="BF15" s="1"/>
      <c r="BG15" s="7"/>
    </row>
    <row r="16" spans="1:59">
      <c r="A16" s="31">
        <v>45945</v>
      </c>
      <c r="B16" s="14">
        <v>26.2</v>
      </c>
      <c r="C16" s="15">
        <v>23.7</v>
      </c>
      <c r="D16" s="16">
        <v>23.5</v>
      </c>
      <c r="E16" s="17">
        <v>24.7</v>
      </c>
      <c r="F16" s="18">
        <v>26.4</v>
      </c>
      <c r="G16" s="19">
        <v>25.1</v>
      </c>
      <c r="H16" s="14">
        <v>26.8</v>
      </c>
      <c r="I16" s="15">
        <v>26</v>
      </c>
      <c r="J16" s="16">
        <v>27.9</v>
      </c>
      <c r="K16" s="17">
        <v>26.7</v>
      </c>
      <c r="L16" s="18">
        <v>25</v>
      </c>
      <c r="M16" s="19">
        <v>24.9</v>
      </c>
      <c r="N16" s="14">
        <v>25.9</v>
      </c>
      <c r="O16" s="15">
        <v>26</v>
      </c>
      <c r="P16" s="16">
        <v>25</v>
      </c>
      <c r="Q16" s="17">
        <v>25.2</v>
      </c>
      <c r="R16" s="18">
        <v>24.3</v>
      </c>
      <c r="S16" s="19">
        <v>25.9</v>
      </c>
      <c r="T16" s="14">
        <v>26.6</v>
      </c>
      <c r="U16" s="15">
        <v>26.9</v>
      </c>
      <c r="V16" s="16">
        <v>24.9</v>
      </c>
      <c r="W16" s="17">
        <v>23.8</v>
      </c>
      <c r="X16" s="18">
        <v>26.5</v>
      </c>
      <c r="Y16" s="19">
        <v>24.6</v>
      </c>
      <c r="Z16" s="14">
        <v>26</v>
      </c>
      <c r="AA16" s="15">
        <v>25.4</v>
      </c>
      <c r="AB16" s="16">
        <v>25.6</v>
      </c>
      <c r="AC16" s="17">
        <v>27.2</v>
      </c>
      <c r="AD16" s="18">
        <v>24.1</v>
      </c>
      <c r="AE16" s="19">
        <v>27.2</v>
      </c>
      <c r="AF16" s="14">
        <v>26.8</v>
      </c>
      <c r="AG16" s="15">
        <v>24.5</v>
      </c>
      <c r="AH16" s="16">
        <v>24.5</v>
      </c>
      <c r="AI16" s="17">
        <v>24.5</v>
      </c>
      <c r="AJ16" s="18">
        <v>24.8</v>
      </c>
      <c r="AK16" s="19">
        <v>25.5</v>
      </c>
      <c r="AL16" s="14">
        <v>25.3</v>
      </c>
      <c r="AM16" s="16">
        <v>24.4</v>
      </c>
      <c r="AN16" s="17">
        <v>26.5</v>
      </c>
      <c r="AO16" s="19">
        <v>25.2</v>
      </c>
      <c r="AP16" s="14">
        <v>25.9</v>
      </c>
      <c r="AQ16" s="15">
        <v>24.3</v>
      </c>
      <c r="AR16" s="16">
        <v>26.8</v>
      </c>
      <c r="AS16" s="17">
        <v>24.5</v>
      </c>
      <c r="AT16" s="18">
        <v>23.6</v>
      </c>
      <c r="AU16" s="19">
        <v>24.5</v>
      </c>
      <c r="AV16" s="14">
        <v>24.6</v>
      </c>
      <c r="AW16" s="15">
        <v>28</v>
      </c>
      <c r="AX16" s="16">
        <v>26.9</v>
      </c>
      <c r="AY16" s="17">
        <v>27.2</v>
      </c>
      <c r="AZ16" s="18">
        <v>23.7</v>
      </c>
      <c r="BA16" s="19">
        <v>25.6</v>
      </c>
      <c r="BB16" s="14">
        <v>29.4</v>
      </c>
      <c r="BC16" s="15">
        <v>25.9</v>
      </c>
      <c r="BD16" s="16">
        <v>26.3</v>
      </c>
      <c r="BE16" s="17">
        <v>26.6</v>
      </c>
      <c r="BF16" s="18">
        <v>27.2</v>
      </c>
      <c r="BG16" s="19">
        <v>27.3</v>
      </c>
    </row>
    <row r="17" spans="1:59">
      <c r="A17" s="31">
        <v>45947</v>
      </c>
      <c r="B17" s="3">
        <v>26.1</v>
      </c>
      <c r="C17" s="4">
        <v>23</v>
      </c>
      <c r="D17" s="5">
        <v>23.6</v>
      </c>
      <c r="E17" s="6">
        <v>24.6</v>
      </c>
      <c r="F17" s="1">
        <v>26.8</v>
      </c>
      <c r="G17" s="7">
        <v>25</v>
      </c>
      <c r="H17" s="3">
        <v>26.6</v>
      </c>
      <c r="I17" s="4">
        <v>26.3</v>
      </c>
      <c r="J17" s="5">
        <v>27.3</v>
      </c>
      <c r="K17" s="6">
        <v>26.4</v>
      </c>
      <c r="L17" s="1">
        <v>24.8</v>
      </c>
      <c r="M17" s="7">
        <v>24.8</v>
      </c>
      <c r="N17" s="3">
        <v>26.3</v>
      </c>
      <c r="O17" s="4">
        <v>26.2</v>
      </c>
      <c r="P17" s="5">
        <v>25.2</v>
      </c>
      <c r="Q17" s="6">
        <v>25</v>
      </c>
      <c r="R17" s="1">
        <v>24.1</v>
      </c>
      <c r="S17" s="7">
        <v>26.5</v>
      </c>
      <c r="T17" s="3">
        <v>26.6</v>
      </c>
      <c r="U17" s="4">
        <v>26.9</v>
      </c>
      <c r="V17" s="5">
        <v>24.3</v>
      </c>
      <c r="W17" s="6">
        <v>23.5</v>
      </c>
      <c r="X17" s="1">
        <v>26.3</v>
      </c>
      <c r="Y17" s="7">
        <v>23.8</v>
      </c>
      <c r="Z17" s="3">
        <v>26.2</v>
      </c>
      <c r="AA17" s="4">
        <v>25.6</v>
      </c>
      <c r="AB17" s="5">
        <v>25.8</v>
      </c>
      <c r="AC17" s="6">
        <v>28.7</v>
      </c>
      <c r="AD17" s="1">
        <v>25</v>
      </c>
      <c r="AE17" s="7">
        <v>27.4</v>
      </c>
      <c r="AF17" s="3">
        <v>26.6</v>
      </c>
      <c r="AG17" s="4">
        <v>24.8</v>
      </c>
      <c r="AH17" s="5">
        <v>24.5</v>
      </c>
      <c r="AI17" s="6">
        <v>25.4</v>
      </c>
      <c r="AJ17" s="1">
        <v>25.1</v>
      </c>
      <c r="AK17" s="7">
        <v>26.1</v>
      </c>
      <c r="AL17" s="3">
        <v>24.9</v>
      </c>
      <c r="AM17" s="5">
        <v>24.2</v>
      </c>
      <c r="AN17" s="6">
        <v>26.3</v>
      </c>
      <c r="AO17" s="7">
        <v>25.3</v>
      </c>
      <c r="AP17" s="3">
        <v>25.6</v>
      </c>
      <c r="AQ17" s="4">
        <v>23.3</v>
      </c>
      <c r="AR17" s="5">
        <v>26.7</v>
      </c>
      <c r="AS17" s="6">
        <v>24.8</v>
      </c>
      <c r="AT17" s="1">
        <v>23.5</v>
      </c>
      <c r="AU17" s="7">
        <v>24.5</v>
      </c>
      <c r="AV17" s="3">
        <v>24.8</v>
      </c>
      <c r="AW17" s="4">
        <v>27.7</v>
      </c>
      <c r="AX17" s="5">
        <v>26.5</v>
      </c>
      <c r="AY17" s="6">
        <v>27.1</v>
      </c>
      <c r="AZ17" s="1">
        <v>24.6</v>
      </c>
      <c r="BA17" s="7">
        <v>25.7</v>
      </c>
      <c r="BB17" s="3">
        <v>29.4</v>
      </c>
      <c r="BC17" s="4">
        <v>26.4</v>
      </c>
      <c r="BD17" s="5">
        <v>26.8</v>
      </c>
      <c r="BE17" s="6">
        <v>27</v>
      </c>
      <c r="BF17" s="1">
        <v>26.9</v>
      </c>
      <c r="BG17" s="7">
        <v>27.3</v>
      </c>
    </row>
    <row r="18" spans="1:59">
      <c r="A18" s="31">
        <v>45950</v>
      </c>
      <c r="B18" s="3">
        <v>26.3</v>
      </c>
      <c r="C18" s="4">
        <v>22.5</v>
      </c>
      <c r="D18" s="5">
        <v>23.1</v>
      </c>
      <c r="E18" s="6">
        <v>24.5</v>
      </c>
      <c r="F18" s="1">
        <v>25.9</v>
      </c>
      <c r="G18" s="7">
        <v>24.5</v>
      </c>
      <c r="H18" s="3">
        <v>25.6</v>
      </c>
      <c r="I18" s="4">
        <v>25.6</v>
      </c>
      <c r="J18" s="5">
        <v>27.1</v>
      </c>
      <c r="K18" s="6">
        <v>26.3</v>
      </c>
      <c r="L18" s="1">
        <v>24.3</v>
      </c>
      <c r="M18" s="7">
        <v>24.6</v>
      </c>
      <c r="N18" s="3">
        <v>25.7</v>
      </c>
      <c r="O18" s="4">
        <v>25.8</v>
      </c>
      <c r="P18" s="5">
        <v>25</v>
      </c>
      <c r="Q18" s="6">
        <v>24.6</v>
      </c>
      <c r="R18" s="1" t="s">
        <v>163</v>
      </c>
      <c r="S18" s="7">
        <v>26</v>
      </c>
      <c r="T18" s="3">
        <v>26.6</v>
      </c>
      <c r="U18" s="4">
        <v>26.8</v>
      </c>
      <c r="V18" s="5">
        <v>23.8</v>
      </c>
      <c r="W18" s="6">
        <v>24</v>
      </c>
      <c r="X18" s="1">
        <v>25.8</v>
      </c>
      <c r="Y18" s="7">
        <v>23.6</v>
      </c>
      <c r="Z18" s="3">
        <v>26</v>
      </c>
      <c r="AA18" s="4">
        <v>25.6</v>
      </c>
      <c r="AB18" s="5">
        <v>25.6</v>
      </c>
      <c r="AC18" s="6">
        <v>28.7</v>
      </c>
      <c r="AD18" s="1">
        <v>24.7</v>
      </c>
      <c r="AE18" s="7">
        <v>27.4</v>
      </c>
      <c r="AF18" s="3">
        <v>26.3</v>
      </c>
      <c r="AG18" s="4">
        <v>24.4</v>
      </c>
      <c r="AH18" s="5">
        <v>24</v>
      </c>
      <c r="AI18" s="6">
        <v>25.3</v>
      </c>
      <c r="AJ18" s="1">
        <v>25.5</v>
      </c>
      <c r="AK18" s="7">
        <v>26.3</v>
      </c>
      <c r="AL18" s="3">
        <v>24.6</v>
      </c>
      <c r="AM18" s="5">
        <v>23</v>
      </c>
      <c r="AN18" s="6">
        <v>26.4</v>
      </c>
      <c r="AO18" s="7">
        <v>25.3</v>
      </c>
      <c r="AP18" s="3">
        <v>25.9</v>
      </c>
      <c r="AQ18" s="4">
        <v>23.8</v>
      </c>
      <c r="AR18" s="5">
        <v>27</v>
      </c>
      <c r="AS18" s="6">
        <v>24.7</v>
      </c>
      <c r="AT18" s="1">
        <v>23.3</v>
      </c>
      <c r="AU18" s="7">
        <v>24.6</v>
      </c>
      <c r="AV18" s="3">
        <v>25</v>
      </c>
      <c r="AW18" s="4">
        <v>28</v>
      </c>
      <c r="AX18" s="5">
        <v>27</v>
      </c>
      <c r="AY18" s="6">
        <v>27.4</v>
      </c>
      <c r="AZ18" s="1" t="s">
        <v>163</v>
      </c>
      <c r="BA18" s="7">
        <v>25.8</v>
      </c>
      <c r="BB18" s="3">
        <v>29.8</v>
      </c>
      <c r="BC18" s="4">
        <v>26.7</v>
      </c>
      <c r="BD18" s="5">
        <v>27.4</v>
      </c>
      <c r="BE18" s="6">
        <v>26.5</v>
      </c>
      <c r="BF18" s="1">
        <v>26.9</v>
      </c>
      <c r="BG18" s="7">
        <v>27.5</v>
      </c>
    </row>
    <row r="19" spans="1:59">
      <c r="A19" s="31">
        <v>45952</v>
      </c>
      <c r="B19" s="3">
        <v>26.6</v>
      </c>
      <c r="C19" s="4">
        <v>22.7</v>
      </c>
      <c r="D19" s="5">
        <v>23.7</v>
      </c>
      <c r="E19" s="6">
        <v>24.7</v>
      </c>
      <c r="F19" s="1">
        <v>26.1</v>
      </c>
      <c r="G19" s="7">
        <v>24.5</v>
      </c>
      <c r="H19" s="3">
        <v>25.8</v>
      </c>
      <c r="I19" s="4">
        <v>25.9</v>
      </c>
      <c r="J19" s="5">
        <v>28.1</v>
      </c>
      <c r="K19" s="6">
        <v>26.7</v>
      </c>
      <c r="L19" s="1">
        <v>24.4</v>
      </c>
      <c r="M19" s="7">
        <v>24.8</v>
      </c>
      <c r="N19" s="3">
        <v>25.9</v>
      </c>
      <c r="O19" s="4">
        <v>26.9</v>
      </c>
      <c r="P19" s="5">
        <v>25.6</v>
      </c>
      <c r="Q19" s="6">
        <v>24.9</v>
      </c>
      <c r="R19" s="1" t="s">
        <v>163</v>
      </c>
      <c r="S19" s="7">
        <v>26.4</v>
      </c>
      <c r="T19" s="3">
        <v>27</v>
      </c>
      <c r="U19" s="4">
        <v>27.6</v>
      </c>
      <c r="V19" s="5">
        <v>24.2</v>
      </c>
      <c r="W19" s="6">
        <v>24.6</v>
      </c>
      <c r="X19" s="1">
        <v>26.9</v>
      </c>
      <c r="Y19" s="7">
        <v>24.3</v>
      </c>
      <c r="Z19" s="3">
        <v>26.4</v>
      </c>
      <c r="AA19" s="4">
        <v>25.9</v>
      </c>
      <c r="AB19" s="5">
        <v>26.4</v>
      </c>
      <c r="AC19" s="6">
        <v>29</v>
      </c>
      <c r="AD19" s="1">
        <v>25.1</v>
      </c>
      <c r="AE19" s="7">
        <v>27.9</v>
      </c>
      <c r="AF19" s="3">
        <v>26.9</v>
      </c>
      <c r="AG19" s="4">
        <v>23.9</v>
      </c>
      <c r="AH19" s="5">
        <v>24.7</v>
      </c>
      <c r="AI19" s="6">
        <v>25.8</v>
      </c>
      <c r="AJ19" s="1">
        <v>25.9</v>
      </c>
      <c r="AK19" s="7">
        <v>26.1</v>
      </c>
      <c r="AL19" s="3">
        <v>25.3</v>
      </c>
      <c r="AM19" s="5">
        <v>22.9</v>
      </c>
      <c r="AN19" s="6">
        <v>27</v>
      </c>
      <c r="AO19" s="7">
        <v>25.5</v>
      </c>
      <c r="AP19" s="3">
        <v>26.8</v>
      </c>
      <c r="AQ19" s="4">
        <v>24.3</v>
      </c>
      <c r="AR19" s="5">
        <v>27.2</v>
      </c>
      <c r="AS19" s="6">
        <v>25.2</v>
      </c>
      <c r="AT19" s="1">
        <v>23.5</v>
      </c>
      <c r="AU19" s="7">
        <v>25.8</v>
      </c>
      <c r="AV19" s="3">
        <v>25.9</v>
      </c>
      <c r="AW19" s="4">
        <v>28.6</v>
      </c>
      <c r="AX19" s="5">
        <v>27.8</v>
      </c>
      <c r="AY19" s="6">
        <v>27.4</v>
      </c>
      <c r="AZ19" s="1" t="s">
        <v>163</v>
      </c>
      <c r="BA19" s="7">
        <v>26.1</v>
      </c>
      <c r="BB19" s="3">
        <v>30.1</v>
      </c>
      <c r="BC19" s="4">
        <v>26.9</v>
      </c>
      <c r="BD19" s="5">
        <v>27.8</v>
      </c>
      <c r="BE19" s="6">
        <v>26.8</v>
      </c>
      <c r="BF19" s="1">
        <v>26.7</v>
      </c>
      <c r="BG19" s="7">
        <v>27.8</v>
      </c>
    </row>
    <row r="20" spans="1:59">
      <c r="A20" s="31">
        <v>45954</v>
      </c>
      <c r="B20" s="3">
        <v>26.5</v>
      </c>
      <c r="C20" s="4">
        <v>22.9</v>
      </c>
      <c r="D20" s="5">
        <v>23.9</v>
      </c>
      <c r="E20" s="6">
        <v>25.1</v>
      </c>
      <c r="F20" s="1">
        <v>26.1</v>
      </c>
      <c r="G20" s="7">
        <v>24.8</v>
      </c>
      <c r="H20" s="3">
        <v>26.8</v>
      </c>
      <c r="I20" s="4">
        <v>26.4</v>
      </c>
      <c r="J20" s="5">
        <v>29</v>
      </c>
      <c r="K20" s="6">
        <v>26.9</v>
      </c>
      <c r="L20" s="1">
        <v>24.6</v>
      </c>
      <c r="M20" s="7">
        <v>24.6</v>
      </c>
      <c r="N20" s="3">
        <v>26.3</v>
      </c>
      <c r="O20" s="4">
        <v>26.9</v>
      </c>
      <c r="P20" s="5">
        <v>25.9</v>
      </c>
      <c r="Q20" s="6">
        <v>25.2</v>
      </c>
      <c r="R20" s="1" t="s">
        <v>163</v>
      </c>
      <c r="S20" s="7">
        <v>26.4</v>
      </c>
      <c r="T20" s="3">
        <v>27.4</v>
      </c>
      <c r="U20" s="4">
        <v>27.6</v>
      </c>
      <c r="V20" s="5">
        <v>24.4</v>
      </c>
      <c r="W20" s="6">
        <v>24.8</v>
      </c>
      <c r="X20" s="1">
        <v>26.8</v>
      </c>
      <c r="Y20" s="7">
        <v>24.2</v>
      </c>
      <c r="Z20" s="3">
        <v>26</v>
      </c>
      <c r="AA20" s="4">
        <v>26.3</v>
      </c>
      <c r="AB20" s="5">
        <v>26.7</v>
      </c>
      <c r="AC20" s="6">
        <v>29.1</v>
      </c>
      <c r="AD20" s="1">
        <v>25.4</v>
      </c>
      <c r="AE20" s="7">
        <v>27.8</v>
      </c>
      <c r="AF20" s="3">
        <v>26.6</v>
      </c>
      <c r="AG20" s="4">
        <v>25.1</v>
      </c>
      <c r="AH20" s="5">
        <v>24.8</v>
      </c>
      <c r="AI20" s="6">
        <v>25.9</v>
      </c>
      <c r="AJ20" s="1">
        <v>26.3</v>
      </c>
      <c r="AK20" s="7">
        <v>26.5</v>
      </c>
      <c r="AL20" s="3">
        <v>25.1</v>
      </c>
      <c r="AM20" s="5">
        <v>22.8</v>
      </c>
      <c r="AN20" s="6">
        <v>26.9</v>
      </c>
      <c r="AO20" s="7">
        <v>25.6</v>
      </c>
      <c r="AP20" s="3">
        <v>27.2</v>
      </c>
      <c r="AQ20" s="4">
        <v>24.7</v>
      </c>
      <c r="AR20" s="5">
        <v>27.6</v>
      </c>
      <c r="AS20" s="6">
        <v>25.3</v>
      </c>
      <c r="AT20" s="1">
        <v>23.5</v>
      </c>
      <c r="AU20" s="7">
        <v>25.6</v>
      </c>
      <c r="AV20" s="3">
        <v>25.7</v>
      </c>
      <c r="AW20" s="4">
        <v>28.5</v>
      </c>
      <c r="AX20" s="5">
        <v>27.4</v>
      </c>
      <c r="AY20" s="6">
        <v>26.9</v>
      </c>
      <c r="AZ20" s="1" t="s">
        <v>163</v>
      </c>
      <c r="BA20" s="7">
        <v>25.8</v>
      </c>
      <c r="BB20" s="3">
        <v>30.2</v>
      </c>
      <c r="BC20" s="4">
        <v>27.1</v>
      </c>
      <c r="BD20" s="5">
        <v>28.2</v>
      </c>
      <c r="BE20" s="6">
        <v>26.5</v>
      </c>
      <c r="BF20" s="1">
        <v>26.7</v>
      </c>
      <c r="BG20" s="7">
        <v>27.5</v>
      </c>
    </row>
    <row r="21" spans="1:59">
      <c r="A21" s="31">
        <v>45957</v>
      </c>
      <c r="B21" s="3">
        <v>27.2</v>
      </c>
      <c r="C21" s="4">
        <v>23</v>
      </c>
      <c r="D21" s="5">
        <v>24.1</v>
      </c>
      <c r="E21" s="6">
        <v>25.7</v>
      </c>
      <c r="F21" s="1">
        <v>25.8</v>
      </c>
      <c r="G21" s="7">
        <v>25.2</v>
      </c>
      <c r="H21" s="3">
        <v>27.1</v>
      </c>
      <c r="I21" s="4">
        <v>26.5</v>
      </c>
      <c r="J21" s="5">
        <v>28.9</v>
      </c>
      <c r="K21" s="6">
        <v>27.3</v>
      </c>
      <c r="L21" s="1">
        <v>24.4</v>
      </c>
      <c r="M21" s="7">
        <v>24.6</v>
      </c>
      <c r="N21" s="3">
        <v>26.7</v>
      </c>
      <c r="O21" s="4">
        <v>27.1</v>
      </c>
      <c r="P21" s="5">
        <v>26.2</v>
      </c>
      <c r="Q21" s="6">
        <v>25.3</v>
      </c>
      <c r="R21" s="1" t="s">
        <v>163</v>
      </c>
      <c r="S21" s="7">
        <v>26.8</v>
      </c>
      <c r="T21" s="3">
        <v>27.9</v>
      </c>
      <c r="U21" s="4">
        <v>28.1</v>
      </c>
      <c r="V21" s="5">
        <v>25.3</v>
      </c>
      <c r="W21" s="6">
        <v>24.7</v>
      </c>
      <c r="X21" s="1">
        <v>26.7</v>
      </c>
      <c r="Y21" s="7">
        <v>24.6</v>
      </c>
      <c r="Z21" s="3">
        <v>26.7</v>
      </c>
      <c r="AA21" s="4">
        <v>26.7</v>
      </c>
      <c r="AB21" s="5">
        <v>26.2</v>
      </c>
      <c r="AC21" s="6">
        <v>29.4</v>
      </c>
      <c r="AD21" s="1">
        <v>25.6</v>
      </c>
      <c r="AE21" s="7">
        <v>28.9</v>
      </c>
      <c r="AF21" s="3">
        <v>27.4</v>
      </c>
      <c r="AG21" s="4">
        <v>25.5</v>
      </c>
      <c r="AH21" s="5">
        <v>24.5</v>
      </c>
      <c r="AI21" s="6">
        <v>26.2</v>
      </c>
      <c r="AJ21" s="1">
        <v>26.5</v>
      </c>
      <c r="AK21" s="7">
        <v>26.9</v>
      </c>
      <c r="AL21" s="3">
        <v>25.3</v>
      </c>
      <c r="AM21" s="5">
        <v>23</v>
      </c>
      <c r="AN21" s="6">
        <v>27.3</v>
      </c>
      <c r="AO21" s="7">
        <v>25.8</v>
      </c>
      <c r="AP21" s="3">
        <v>27.5</v>
      </c>
      <c r="AQ21" s="4">
        <v>24.7</v>
      </c>
      <c r="AR21" s="5">
        <v>27.4</v>
      </c>
      <c r="AS21" s="6">
        <v>25.3</v>
      </c>
      <c r="AT21" s="1">
        <v>23.5</v>
      </c>
      <c r="AU21" s="7">
        <v>25.3</v>
      </c>
      <c r="AV21" s="3">
        <v>26</v>
      </c>
      <c r="AW21" s="4">
        <v>28.7</v>
      </c>
      <c r="AX21" s="5">
        <v>28</v>
      </c>
      <c r="AY21" s="6">
        <v>27.1</v>
      </c>
      <c r="AZ21" s="1" t="s">
        <v>163</v>
      </c>
      <c r="BA21" s="7">
        <v>25.6</v>
      </c>
      <c r="BB21" s="3">
        <v>30.3</v>
      </c>
      <c r="BC21" s="4">
        <v>27.4</v>
      </c>
      <c r="BD21" s="5">
        <v>28.3</v>
      </c>
      <c r="BE21" s="6">
        <v>27.1</v>
      </c>
      <c r="BF21" s="1">
        <v>27</v>
      </c>
      <c r="BG21" s="7">
        <v>27.8</v>
      </c>
    </row>
    <row r="22" spans="1:59">
      <c r="A22" s="31">
        <v>45959</v>
      </c>
      <c r="B22" s="3">
        <v>27.7</v>
      </c>
      <c r="C22" s="4">
        <v>23.8</v>
      </c>
      <c r="D22" s="5">
        <v>24.6</v>
      </c>
      <c r="E22" s="6">
        <v>25.9</v>
      </c>
      <c r="F22" s="1">
        <v>24.3</v>
      </c>
      <c r="G22" s="7">
        <v>25.6</v>
      </c>
      <c r="H22" s="3">
        <v>28</v>
      </c>
      <c r="I22" s="4">
        <v>26.9</v>
      </c>
      <c r="J22" s="5">
        <v>29.5</v>
      </c>
      <c r="K22" s="6">
        <v>27.8</v>
      </c>
      <c r="L22" s="1">
        <v>24.8</v>
      </c>
      <c r="M22" s="7">
        <v>25</v>
      </c>
      <c r="N22" s="3">
        <v>27.5</v>
      </c>
      <c r="O22" s="4">
        <v>27.7</v>
      </c>
      <c r="P22" s="5">
        <v>26.8</v>
      </c>
      <c r="Q22" s="6">
        <v>26.1</v>
      </c>
      <c r="R22" s="1" t="s">
        <v>163</v>
      </c>
      <c r="S22" s="7">
        <v>27.2</v>
      </c>
      <c r="T22" s="3">
        <v>28.5</v>
      </c>
      <c r="U22" s="4">
        <v>28.4</v>
      </c>
      <c r="V22" s="5">
        <v>25.9</v>
      </c>
      <c r="W22" s="6">
        <v>25.4</v>
      </c>
      <c r="X22" s="1">
        <v>27.5</v>
      </c>
      <c r="Y22" s="7">
        <v>24.9</v>
      </c>
      <c r="Z22" s="3">
        <v>27</v>
      </c>
      <c r="AA22" s="4">
        <v>27</v>
      </c>
      <c r="AB22" s="5">
        <v>27.8</v>
      </c>
      <c r="AC22" s="6">
        <v>30</v>
      </c>
      <c r="AD22" s="1">
        <v>26</v>
      </c>
      <c r="AE22" s="7">
        <v>29.5</v>
      </c>
      <c r="AF22" s="3">
        <v>28.2</v>
      </c>
      <c r="AG22" s="4">
        <v>26.3</v>
      </c>
      <c r="AH22" s="5">
        <v>25.7</v>
      </c>
      <c r="AI22" s="6">
        <v>27.1</v>
      </c>
      <c r="AJ22" s="1">
        <v>27.6</v>
      </c>
      <c r="AK22" s="7">
        <v>27.7</v>
      </c>
      <c r="AL22" s="3">
        <v>25.8</v>
      </c>
      <c r="AM22" s="5">
        <v>23.4</v>
      </c>
      <c r="AN22" s="6">
        <v>27.7</v>
      </c>
      <c r="AO22" s="7">
        <v>26.9</v>
      </c>
      <c r="AP22" s="3">
        <v>28.1</v>
      </c>
      <c r="AQ22" s="4">
        <v>24.9</v>
      </c>
      <c r="AR22" s="5">
        <v>29.2</v>
      </c>
      <c r="AS22" s="6">
        <v>25.6</v>
      </c>
      <c r="AT22" s="1">
        <v>24</v>
      </c>
      <c r="AU22" s="7">
        <v>26.5</v>
      </c>
      <c r="AV22" s="3">
        <v>26.8</v>
      </c>
      <c r="AW22" s="4">
        <v>29.3</v>
      </c>
      <c r="AX22" s="5">
        <v>28.2</v>
      </c>
      <c r="AY22" s="6">
        <v>27.7</v>
      </c>
      <c r="AZ22" s="1" t="s">
        <v>163</v>
      </c>
      <c r="BA22" s="7">
        <v>26.7</v>
      </c>
      <c r="BB22" s="3">
        <v>31.6</v>
      </c>
      <c r="BC22" s="4">
        <v>27.9</v>
      </c>
      <c r="BD22" s="5">
        <v>28.5</v>
      </c>
      <c r="BE22" s="6">
        <v>27.4</v>
      </c>
      <c r="BF22" s="1">
        <v>27.6</v>
      </c>
      <c r="BG22" s="7">
        <v>28.3</v>
      </c>
    </row>
    <row r="23" spans="1:59">
      <c r="A23" s="31">
        <v>45961</v>
      </c>
      <c r="B23" s="3">
        <v>27.5</v>
      </c>
      <c r="C23" s="4">
        <v>24.1</v>
      </c>
      <c r="D23" s="5">
        <v>23.4</v>
      </c>
      <c r="E23" s="6">
        <v>25.7</v>
      </c>
      <c r="F23" s="1">
        <v>23.7</v>
      </c>
      <c r="G23" s="7">
        <v>25.6</v>
      </c>
      <c r="H23" s="3">
        <v>27.8</v>
      </c>
      <c r="I23" s="4">
        <v>26.9</v>
      </c>
      <c r="J23" s="5">
        <v>29.5</v>
      </c>
      <c r="K23" s="6">
        <v>27.9</v>
      </c>
      <c r="L23" s="1">
        <v>24.6</v>
      </c>
      <c r="M23" s="7">
        <v>24.5</v>
      </c>
      <c r="N23" s="3">
        <v>27.4</v>
      </c>
      <c r="O23" s="4">
        <v>27.7</v>
      </c>
      <c r="P23" s="5">
        <v>26.9</v>
      </c>
      <c r="Q23" s="6">
        <v>26</v>
      </c>
      <c r="R23" s="1" t="s">
        <v>163</v>
      </c>
      <c r="S23" s="7">
        <v>27.4</v>
      </c>
      <c r="T23" s="3">
        <v>29</v>
      </c>
      <c r="U23" s="4">
        <v>28.4</v>
      </c>
      <c r="V23" s="5">
        <v>26.2</v>
      </c>
      <c r="W23" s="6">
        <v>25.3</v>
      </c>
      <c r="X23" s="1">
        <v>27.5</v>
      </c>
      <c r="Y23" s="7">
        <v>25.1</v>
      </c>
      <c r="Z23" s="3">
        <v>27.5</v>
      </c>
      <c r="AA23" s="4">
        <v>27.1</v>
      </c>
      <c r="AB23" s="5">
        <v>27.6</v>
      </c>
      <c r="AC23" s="6">
        <v>30.3</v>
      </c>
      <c r="AD23" s="1">
        <v>25.7</v>
      </c>
      <c r="AE23" s="7">
        <v>29.7</v>
      </c>
      <c r="AF23" s="3">
        <v>28.2</v>
      </c>
      <c r="AG23" s="4">
        <v>26</v>
      </c>
      <c r="AH23" s="5">
        <v>26</v>
      </c>
      <c r="AI23" s="6">
        <v>27.1</v>
      </c>
      <c r="AJ23" s="1">
        <v>27.5</v>
      </c>
      <c r="AK23" s="7">
        <v>27.8</v>
      </c>
      <c r="AL23" s="3">
        <v>25.8</v>
      </c>
      <c r="AM23" s="5">
        <v>23.8</v>
      </c>
      <c r="AN23" s="6">
        <v>26.9</v>
      </c>
      <c r="AO23" s="7">
        <v>26.3</v>
      </c>
      <c r="AP23" s="3">
        <v>27.7</v>
      </c>
      <c r="AQ23" s="4">
        <v>25</v>
      </c>
      <c r="AR23" s="5">
        <v>29.4</v>
      </c>
      <c r="AS23" s="6">
        <v>25.7</v>
      </c>
      <c r="AT23" s="1">
        <v>23.8</v>
      </c>
      <c r="AU23" s="7">
        <v>26</v>
      </c>
      <c r="AV23" s="3">
        <v>26.4</v>
      </c>
      <c r="AW23" s="4">
        <v>28.9</v>
      </c>
      <c r="AX23" s="5">
        <v>28.1</v>
      </c>
      <c r="AY23" s="6">
        <v>27.8</v>
      </c>
      <c r="AZ23" s="1" t="s">
        <v>163</v>
      </c>
      <c r="BA23" s="7">
        <v>26.7</v>
      </c>
      <c r="BB23" s="3">
        <v>30.7</v>
      </c>
      <c r="BC23" s="4">
        <v>27.8</v>
      </c>
      <c r="BD23" s="5">
        <v>28.8</v>
      </c>
      <c r="BE23" s="6">
        <v>26.8</v>
      </c>
      <c r="BF23" s="1">
        <v>27.4</v>
      </c>
      <c r="BG23" s="7">
        <v>28.5</v>
      </c>
    </row>
    <row r="24" spans="1:59">
      <c r="A24" s="31">
        <v>45964</v>
      </c>
      <c r="B24" s="3">
        <v>27.8</v>
      </c>
      <c r="C24" s="4">
        <v>24</v>
      </c>
      <c r="D24" s="5">
        <v>22</v>
      </c>
      <c r="E24" s="6">
        <v>26.2</v>
      </c>
      <c r="F24" s="1">
        <v>21.7</v>
      </c>
      <c r="G24" s="7">
        <v>25.9</v>
      </c>
      <c r="H24" s="3">
        <v>29.4</v>
      </c>
      <c r="I24" s="4">
        <v>28</v>
      </c>
      <c r="J24" s="5">
        <v>30.8</v>
      </c>
      <c r="K24" s="6">
        <v>28.4</v>
      </c>
      <c r="L24" s="1">
        <v>24.8</v>
      </c>
      <c r="M24" s="7">
        <v>25</v>
      </c>
      <c r="N24" s="3">
        <v>27.1</v>
      </c>
      <c r="O24" s="4">
        <v>28</v>
      </c>
      <c r="P24" s="5">
        <v>27.5</v>
      </c>
      <c r="Q24" s="6">
        <v>26.7</v>
      </c>
      <c r="R24" s="1" t="s">
        <v>163</v>
      </c>
      <c r="S24" s="7">
        <v>27.8</v>
      </c>
      <c r="T24" s="3">
        <v>29.8</v>
      </c>
      <c r="U24" s="4">
        <v>29</v>
      </c>
      <c r="V24" s="5">
        <v>26.9</v>
      </c>
      <c r="W24" s="6">
        <v>26.7</v>
      </c>
      <c r="X24" s="1">
        <v>28.1</v>
      </c>
      <c r="Y24" s="7">
        <v>25.8</v>
      </c>
      <c r="Z24" s="3">
        <v>28.1</v>
      </c>
      <c r="AA24" s="4">
        <v>27.6</v>
      </c>
      <c r="AB24" s="5">
        <v>28.2</v>
      </c>
      <c r="AC24" s="6">
        <v>30.8</v>
      </c>
      <c r="AD24" s="1">
        <v>26.1</v>
      </c>
      <c r="AE24" s="7">
        <v>30.2</v>
      </c>
      <c r="AF24" s="3">
        <v>28</v>
      </c>
      <c r="AG24" s="4">
        <v>26.3</v>
      </c>
      <c r="AH24" s="5">
        <v>26.7</v>
      </c>
      <c r="AI24" s="6">
        <v>27.7</v>
      </c>
      <c r="AJ24" s="1">
        <v>28.1</v>
      </c>
      <c r="AK24" s="7">
        <v>28.1</v>
      </c>
      <c r="AL24" s="3">
        <v>26.6</v>
      </c>
      <c r="AM24" s="5">
        <v>24.6</v>
      </c>
      <c r="AN24" s="6">
        <v>24.4</v>
      </c>
      <c r="AO24" s="7">
        <v>26.4</v>
      </c>
      <c r="AP24" s="3">
        <v>27.9</v>
      </c>
      <c r="AQ24" s="4">
        <v>25.8</v>
      </c>
      <c r="AR24" s="5">
        <v>30.1</v>
      </c>
      <c r="AS24" s="6">
        <v>26.2</v>
      </c>
      <c r="AT24" s="1">
        <v>24.3</v>
      </c>
      <c r="AU24" s="7">
        <v>26.6</v>
      </c>
      <c r="AV24" s="3">
        <v>26.9</v>
      </c>
      <c r="AW24" s="4">
        <v>29.3</v>
      </c>
      <c r="AX24" s="5">
        <v>28.7</v>
      </c>
      <c r="AY24" s="6">
        <v>28.5</v>
      </c>
      <c r="AZ24" s="1" t="s">
        <v>163</v>
      </c>
      <c r="BA24" s="7">
        <v>27.3</v>
      </c>
      <c r="BB24" s="3">
        <v>31.1</v>
      </c>
      <c r="BC24" s="4">
        <v>28.3</v>
      </c>
      <c r="BD24" s="5">
        <v>29.3</v>
      </c>
      <c r="BE24" s="6">
        <v>27.7</v>
      </c>
      <c r="BF24" s="1">
        <v>27.7</v>
      </c>
      <c r="BG24" s="7">
        <v>29.2</v>
      </c>
    </row>
    <row r="25" spans="1:59">
      <c r="A25" s="53">
        <v>45965</v>
      </c>
      <c r="B25" s="3">
        <v>27.7</v>
      </c>
      <c r="C25" s="4" t="s">
        <v>163</v>
      </c>
      <c r="D25" s="5">
        <v>22.1</v>
      </c>
      <c r="E25" s="6">
        <v>26.1</v>
      </c>
      <c r="F25" s="1" t="s">
        <v>163</v>
      </c>
      <c r="G25" s="7">
        <v>25.4</v>
      </c>
      <c r="H25" s="3">
        <v>28.9</v>
      </c>
      <c r="I25" s="4">
        <v>27.7</v>
      </c>
      <c r="J25" s="5">
        <v>29.5</v>
      </c>
      <c r="K25" s="6">
        <v>28.1</v>
      </c>
      <c r="L25" s="1">
        <v>24.6</v>
      </c>
      <c r="M25" s="7">
        <v>25.1</v>
      </c>
      <c r="N25" s="3">
        <v>26</v>
      </c>
      <c r="O25" s="4">
        <v>27.2</v>
      </c>
      <c r="P25" s="5">
        <v>26.7</v>
      </c>
      <c r="Q25" s="6">
        <v>25.9</v>
      </c>
      <c r="R25" s="1" t="s">
        <v>163</v>
      </c>
      <c r="S25" s="7">
        <v>27.7</v>
      </c>
      <c r="T25" s="3">
        <v>29.3</v>
      </c>
      <c r="U25" s="4">
        <v>27.7</v>
      </c>
      <c r="V25" s="5" t="s">
        <v>163</v>
      </c>
      <c r="W25" s="6">
        <v>25.6</v>
      </c>
      <c r="X25" s="1" t="s">
        <v>163</v>
      </c>
      <c r="Y25" s="7">
        <v>25.2</v>
      </c>
      <c r="Z25" s="3">
        <v>27.6</v>
      </c>
      <c r="AA25" s="4">
        <v>27.1</v>
      </c>
      <c r="AB25" s="5">
        <v>27.6</v>
      </c>
      <c r="AC25" s="6">
        <v>30.8</v>
      </c>
      <c r="AD25" s="1">
        <v>25.2</v>
      </c>
      <c r="AE25" s="7">
        <v>29.8</v>
      </c>
      <c r="AF25" s="3">
        <v>26.8</v>
      </c>
      <c r="AG25" s="4">
        <v>25.9</v>
      </c>
      <c r="AH25" s="5">
        <v>26.2</v>
      </c>
      <c r="AI25" s="6">
        <v>27.6</v>
      </c>
      <c r="AJ25" s="1">
        <v>27.8</v>
      </c>
      <c r="AK25" s="7">
        <v>27.6</v>
      </c>
      <c r="AL25" s="3">
        <v>25.8</v>
      </c>
      <c r="AM25" s="5" t="s">
        <v>163</v>
      </c>
      <c r="AN25" s="6" t="s">
        <v>165</v>
      </c>
      <c r="AO25" s="7">
        <v>26.4</v>
      </c>
      <c r="AP25" s="3">
        <v>27.7</v>
      </c>
      <c r="AQ25" s="4">
        <v>25</v>
      </c>
      <c r="AR25" s="5">
        <v>29.1</v>
      </c>
      <c r="AS25" s="6">
        <v>25.8</v>
      </c>
      <c r="AT25" s="1">
        <v>24.1</v>
      </c>
      <c r="AU25" s="7">
        <v>26.9</v>
      </c>
      <c r="AV25" s="3">
        <v>26.6</v>
      </c>
      <c r="AW25" s="4">
        <v>28.5</v>
      </c>
      <c r="AX25" s="5">
        <v>28.3</v>
      </c>
      <c r="AY25" s="6">
        <v>28.2</v>
      </c>
      <c r="AZ25" s="1" t="s">
        <v>163</v>
      </c>
      <c r="BA25" s="7">
        <v>27.1</v>
      </c>
      <c r="BB25" s="3">
        <v>31</v>
      </c>
      <c r="BC25" s="4">
        <v>27.9</v>
      </c>
      <c r="BD25" s="5">
        <v>29.2</v>
      </c>
      <c r="BE25" s="6">
        <v>27.5</v>
      </c>
      <c r="BF25" s="1">
        <v>26.9</v>
      </c>
      <c r="BG25" s="7">
        <v>28.8</v>
      </c>
    </row>
    <row r="26" spans="1:59">
      <c r="A26" s="31">
        <v>45966</v>
      </c>
      <c r="B26" s="3">
        <v>27.1</v>
      </c>
      <c r="C26" s="4" t="s">
        <v>163</v>
      </c>
      <c r="D26" s="5">
        <v>23</v>
      </c>
      <c r="E26" s="6">
        <v>26.1</v>
      </c>
      <c r="F26" s="1" t="s">
        <v>163</v>
      </c>
      <c r="G26" s="7">
        <v>25.2</v>
      </c>
      <c r="H26" s="3">
        <v>29.2</v>
      </c>
      <c r="I26" s="4">
        <v>27.8</v>
      </c>
      <c r="J26" s="5">
        <v>29.9</v>
      </c>
      <c r="K26" s="6">
        <v>28.4</v>
      </c>
      <c r="L26" s="1">
        <v>25.2</v>
      </c>
      <c r="M26" s="7">
        <v>25.1</v>
      </c>
      <c r="N26" s="3">
        <v>26</v>
      </c>
      <c r="O26" s="4">
        <v>27.2</v>
      </c>
      <c r="P26" s="5">
        <v>26.8</v>
      </c>
      <c r="Q26" s="6">
        <v>26.6</v>
      </c>
      <c r="R26" s="1" t="s">
        <v>163</v>
      </c>
      <c r="S26" s="7">
        <v>27.8</v>
      </c>
      <c r="T26" s="3">
        <v>29.2</v>
      </c>
      <c r="U26" s="4">
        <v>28.5</v>
      </c>
      <c r="V26" s="5" t="s">
        <v>163</v>
      </c>
      <c r="W26" s="6">
        <v>25.7</v>
      </c>
      <c r="X26" s="1" t="s">
        <v>163</v>
      </c>
      <c r="Y26" s="7">
        <v>25.5</v>
      </c>
      <c r="Z26" s="3">
        <v>28</v>
      </c>
      <c r="AA26" s="4">
        <v>27</v>
      </c>
      <c r="AB26" s="5">
        <v>28</v>
      </c>
      <c r="AC26" s="6">
        <v>31.4</v>
      </c>
      <c r="AD26" s="1">
        <v>25.7</v>
      </c>
      <c r="AE26" s="7">
        <v>30.5</v>
      </c>
      <c r="AF26" s="3">
        <v>27</v>
      </c>
      <c r="AG26" s="4">
        <v>26.3</v>
      </c>
      <c r="AH26" s="5">
        <v>27.2</v>
      </c>
      <c r="AI26" s="6">
        <v>28</v>
      </c>
      <c r="AJ26" s="1">
        <v>28.4</v>
      </c>
      <c r="AK26" s="7">
        <v>28</v>
      </c>
      <c r="AL26" s="3">
        <v>25.7</v>
      </c>
      <c r="AM26" s="5" t="s">
        <v>163</v>
      </c>
      <c r="AN26" s="6" t="s">
        <v>163</v>
      </c>
      <c r="AO26" s="7">
        <v>27</v>
      </c>
      <c r="AP26" s="3">
        <v>28</v>
      </c>
      <c r="AQ26" s="4">
        <v>25.5</v>
      </c>
      <c r="AR26" s="5">
        <v>30.4</v>
      </c>
      <c r="AS26" s="6">
        <v>26.7</v>
      </c>
      <c r="AT26" s="1">
        <v>24.8</v>
      </c>
      <c r="AU26" s="7">
        <v>27.2</v>
      </c>
      <c r="AV26" s="3">
        <v>26.9</v>
      </c>
      <c r="AW26" s="4">
        <v>29.1</v>
      </c>
      <c r="AX26" s="5">
        <v>28.5</v>
      </c>
      <c r="AY26" s="6">
        <v>28.6</v>
      </c>
      <c r="AZ26" s="1" t="s">
        <v>163</v>
      </c>
      <c r="BA26" s="7">
        <v>27.4</v>
      </c>
      <c r="BB26" s="3">
        <v>31.5</v>
      </c>
      <c r="BC26" s="4">
        <v>28.2</v>
      </c>
      <c r="BD26" s="5">
        <v>29.6</v>
      </c>
      <c r="BE26" s="6">
        <v>27.6</v>
      </c>
      <c r="BF26" s="1">
        <v>27.3</v>
      </c>
      <c r="BG26" s="7">
        <v>29.2</v>
      </c>
    </row>
    <row r="27" spans="1:59">
      <c r="A27" s="53">
        <v>45967</v>
      </c>
      <c r="B27" s="3">
        <v>27.5</v>
      </c>
      <c r="C27" s="4" t="s">
        <v>163</v>
      </c>
      <c r="D27" s="5" t="s">
        <v>163</v>
      </c>
      <c r="E27" s="6">
        <v>25.8</v>
      </c>
      <c r="F27" s="1" t="s">
        <v>163</v>
      </c>
      <c r="G27" s="7">
        <v>23.8</v>
      </c>
      <c r="H27" s="3">
        <v>29.1</v>
      </c>
      <c r="I27" s="4">
        <v>27.9</v>
      </c>
      <c r="J27" s="5">
        <v>29.8</v>
      </c>
      <c r="K27" s="6">
        <v>28.2</v>
      </c>
      <c r="L27" s="1">
        <v>24.4</v>
      </c>
      <c r="M27" s="7">
        <v>24.7</v>
      </c>
      <c r="N27" s="3">
        <v>24.6</v>
      </c>
      <c r="O27" s="4">
        <v>26.5</v>
      </c>
      <c r="P27" s="5" t="s">
        <v>163</v>
      </c>
      <c r="Q27" s="6">
        <v>25.3</v>
      </c>
      <c r="R27" s="1" t="s">
        <v>163</v>
      </c>
      <c r="S27" s="7" t="s">
        <v>163</v>
      </c>
      <c r="T27" s="3" t="s">
        <v>163</v>
      </c>
      <c r="U27" s="4" t="s">
        <v>163</v>
      </c>
      <c r="V27" s="5" t="s">
        <v>163</v>
      </c>
      <c r="W27" s="6">
        <v>25.8</v>
      </c>
      <c r="X27" s="1" t="s">
        <v>163</v>
      </c>
      <c r="Y27" s="7">
        <v>25.2</v>
      </c>
      <c r="Z27" s="3">
        <v>27.4</v>
      </c>
      <c r="AA27" s="4" t="s">
        <v>163</v>
      </c>
      <c r="AB27" s="5">
        <v>27.5</v>
      </c>
      <c r="AC27" s="6">
        <v>31</v>
      </c>
      <c r="AD27" s="1" t="s">
        <v>163</v>
      </c>
      <c r="AE27" s="7">
        <v>30.1</v>
      </c>
      <c r="AF27" s="3" t="s">
        <v>163</v>
      </c>
      <c r="AG27" s="4">
        <v>26.1</v>
      </c>
      <c r="AH27" s="5">
        <v>26.8</v>
      </c>
      <c r="AI27" s="6">
        <v>28.3</v>
      </c>
      <c r="AJ27" s="1">
        <v>27.2</v>
      </c>
      <c r="AK27" s="7">
        <v>28</v>
      </c>
      <c r="AL27" s="3" t="s">
        <v>163</v>
      </c>
      <c r="AM27" s="5" t="s">
        <v>163</v>
      </c>
      <c r="AN27" s="6" t="s">
        <v>163</v>
      </c>
      <c r="AO27" s="7">
        <v>26.6</v>
      </c>
      <c r="AP27" s="3">
        <v>27.3</v>
      </c>
      <c r="AQ27" s="4">
        <v>25.3</v>
      </c>
      <c r="AR27" s="5">
        <v>29.8</v>
      </c>
      <c r="AS27" s="6">
        <v>26.5</v>
      </c>
      <c r="AT27" s="1">
        <v>24.4</v>
      </c>
      <c r="AU27" s="7">
        <v>26.9</v>
      </c>
      <c r="AV27" s="3">
        <v>26.6</v>
      </c>
      <c r="AW27" s="4">
        <v>28.9</v>
      </c>
      <c r="AX27" s="5">
        <v>28.6</v>
      </c>
      <c r="AY27" s="6">
        <v>28.2</v>
      </c>
      <c r="AZ27" s="1" t="s">
        <v>163</v>
      </c>
      <c r="BA27" s="7">
        <v>27.2</v>
      </c>
      <c r="BB27" s="3">
        <v>31.4</v>
      </c>
      <c r="BC27" s="4">
        <v>27.9</v>
      </c>
      <c r="BD27" s="5">
        <v>30.1</v>
      </c>
      <c r="BE27" s="6">
        <v>27.7</v>
      </c>
      <c r="BF27" s="1">
        <v>26.9</v>
      </c>
      <c r="BG27" s="7">
        <v>29</v>
      </c>
    </row>
    <row r="28" spans="1:59">
      <c r="A28" s="31">
        <v>45968</v>
      </c>
      <c r="B28" s="3">
        <v>27.3</v>
      </c>
      <c r="C28" s="4" t="s">
        <v>163</v>
      </c>
      <c r="D28" s="5" t="s">
        <v>163</v>
      </c>
      <c r="E28" s="6">
        <v>26.3</v>
      </c>
      <c r="F28" s="1" t="s">
        <v>163</v>
      </c>
      <c r="G28" s="7">
        <v>24</v>
      </c>
      <c r="H28" s="3">
        <v>29.3</v>
      </c>
      <c r="I28" s="4">
        <v>27.5</v>
      </c>
      <c r="J28" s="5">
        <v>30.1</v>
      </c>
      <c r="K28" s="6">
        <v>28.4</v>
      </c>
      <c r="L28" s="1">
        <v>25</v>
      </c>
      <c r="M28" s="7">
        <v>25.1</v>
      </c>
      <c r="N28" s="3">
        <v>23.4</v>
      </c>
      <c r="O28" s="4">
        <v>26</v>
      </c>
      <c r="P28" s="5" t="s">
        <v>163</v>
      </c>
      <c r="Q28" s="6">
        <v>25.5</v>
      </c>
      <c r="R28" s="1" t="s">
        <v>163</v>
      </c>
      <c r="S28" s="7" t="s">
        <v>163</v>
      </c>
      <c r="T28" s="3" t="s">
        <v>163</v>
      </c>
      <c r="U28" s="4" t="s">
        <v>163</v>
      </c>
      <c r="V28" s="5" t="s">
        <v>163</v>
      </c>
      <c r="W28" s="6">
        <v>25.8</v>
      </c>
      <c r="X28" s="1" t="s">
        <v>163</v>
      </c>
      <c r="Y28" s="7">
        <v>25</v>
      </c>
      <c r="Z28" s="3">
        <v>27.5</v>
      </c>
      <c r="AA28" s="4" t="s">
        <v>163</v>
      </c>
      <c r="AB28" s="5">
        <v>28.2</v>
      </c>
      <c r="AC28" s="6">
        <v>30.6</v>
      </c>
      <c r="AD28" s="1" t="s">
        <v>163</v>
      </c>
      <c r="AE28" s="7">
        <v>30.3</v>
      </c>
      <c r="AF28" s="3" t="s">
        <v>163</v>
      </c>
      <c r="AG28" s="4">
        <v>26</v>
      </c>
      <c r="AH28" s="5">
        <v>26.9</v>
      </c>
      <c r="AI28" s="6">
        <v>28.3</v>
      </c>
      <c r="AJ28" s="1">
        <v>27.2</v>
      </c>
      <c r="AK28" s="7">
        <v>27.9</v>
      </c>
      <c r="AL28" s="3" t="s">
        <v>163</v>
      </c>
      <c r="AM28" s="5" t="s">
        <v>163</v>
      </c>
      <c r="AN28" s="6" t="s">
        <v>163</v>
      </c>
      <c r="AO28" s="7">
        <v>26.9</v>
      </c>
      <c r="AP28" s="3">
        <v>26.7</v>
      </c>
      <c r="AQ28" s="4">
        <v>25.2</v>
      </c>
      <c r="AR28" s="5">
        <v>29.5</v>
      </c>
      <c r="AS28" s="6">
        <v>26.7</v>
      </c>
      <c r="AT28" s="1">
        <v>24.8</v>
      </c>
      <c r="AU28" s="7">
        <v>27.2</v>
      </c>
      <c r="AV28" s="3">
        <v>26.5</v>
      </c>
      <c r="AW28" s="4">
        <v>29</v>
      </c>
      <c r="AX28" s="5">
        <v>28.3</v>
      </c>
      <c r="AY28" s="6">
        <v>28.1</v>
      </c>
      <c r="AZ28" s="1" t="s">
        <v>163</v>
      </c>
      <c r="BA28" s="7">
        <v>27.2</v>
      </c>
      <c r="BB28" s="3">
        <v>31.1</v>
      </c>
      <c r="BC28" s="4">
        <v>27.5</v>
      </c>
      <c r="BD28" s="5">
        <v>29.7</v>
      </c>
      <c r="BE28" s="6">
        <v>27.7</v>
      </c>
      <c r="BF28" s="1">
        <v>27.1</v>
      </c>
      <c r="BG28" s="7">
        <v>29.3</v>
      </c>
    </row>
    <row r="29" spans="1:59">
      <c r="A29" s="53">
        <v>45970</v>
      </c>
      <c r="B29" s="3">
        <v>25.6</v>
      </c>
      <c r="C29" s="4" t="s">
        <v>163</v>
      </c>
      <c r="D29" s="5" t="s">
        <v>163</v>
      </c>
      <c r="E29" s="6">
        <v>24.5</v>
      </c>
      <c r="F29" s="1" t="s">
        <v>163</v>
      </c>
      <c r="G29" s="7" t="s">
        <v>163</v>
      </c>
      <c r="H29" s="3">
        <v>27.5</v>
      </c>
      <c r="I29" s="4">
        <v>26.7</v>
      </c>
      <c r="J29" s="5">
        <v>28.3</v>
      </c>
      <c r="K29" s="6">
        <v>27.4</v>
      </c>
      <c r="L29" s="1">
        <v>25.3</v>
      </c>
      <c r="M29" s="7">
        <v>24.6</v>
      </c>
      <c r="N29" s="3" t="s">
        <v>163</v>
      </c>
      <c r="O29" s="4">
        <v>25.2</v>
      </c>
      <c r="P29" s="5" t="s">
        <v>163</v>
      </c>
      <c r="Q29" s="6">
        <v>24.3</v>
      </c>
      <c r="R29" s="1" t="s">
        <v>163</v>
      </c>
      <c r="S29" s="7" t="s">
        <v>163</v>
      </c>
      <c r="T29" s="3" t="s">
        <v>163</v>
      </c>
      <c r="U29" s="4" t="s">
        <v>163</v>
      </c>
      <c r="V29" s="5" t="s">
        <v>163</v>
      </c>
      <c r="W29" s="6">
        <v>24.3</v>
      </c>
      <c r="X29" s="1" t="s">
        <v>163</v>
      </c>
      <c r="Y29" s="7">
        <v>24.3</v>
      </c>
      <c r="Z29" s="3" t="s">
        <v>163</v>
      </c>
      <c r="AA29" s="4" t="s">
        <v>163</v>
      </c>
      <c r="AB29" s="5">
        <v>27.6</v>
      </c>
      <c r="AC29" s="6">
        <v>30</v>
      </c>
      <c r="AD29" s="1" t="s">
        <v>163</v>
      </c>
      <c r="AE29" s="7">
        <v>30</v>
      </c>
      <c r="AF29" s="3" t="s">
        <v>163</v>
      </c>
      <c r="AG29" s="4" t="s">
        <v>163</v>
      </c>
      <c r="AH29" s="5">
        <v>27.1</v>
      </c>
      <c r="AI29" s="6">
        <v>27.9</v>
      </c>
      <c r="AJ29" s="1">
        <v>25.2</v>
      </c>
      <c r="AK29" s="7">
        <v>27.6</v>
      </c>
      <c r="AL29" s="3" t="s">
        <v>163</v>
      </c>
      <c r="AM29" s="5" t="s">
        <v>163</v>
      </c>
      <c r="AN29" s="6" t="s">
        <v>163</v>
      </c>
      <c r="AO29" s="7">
        <v>26.7</v>
      </c>
      <c r="AP29" s="3" t="s">
        <v>163</v>
      </c>
      <c r="AQ29" s="4">
        <v>25.1</v>
      </c>
      <c r="AR29" s="5">
        <v>30.5</v>
      </c>
      <c r="AS29" s="6">
        <v>26.6</v>
      </c>
      <c r="AT29" s="1">
        <v>24.5</v>
      </c>
      <c r="AU29" s="7">
        <v>27.2</v>
      </c>
      <c r="AV29" s="3" t="s">
        <v>163</v>
      </c>
      <c r="AW29" s="4">
        <v>28.9</v>
      </c>
      <c r="AX29" s="5">
        <v>28.8</v>
      </c>
      <c r="AY29" s="6">
        <v>28.7</v>
      </c>
      <c r="AZ29" s="1" t="s">
        <v>163</v>
      </c>
      <c r="BA29" s="7">
        <v>27.4</v>
      </c>
      <c r="BB29" s="3">
        <v>30.7</v>
      </c>
      <c r="BC29" s="4">
        <v>28.2</v>
      </c>
      <c r="BD29" s="5">
        <v>29.5</v>
      </c>
      <c r="BE29" s="6">
        <v>27.7</v>
      </c>
      <c r="BF29" s="1">
        <v>27.3</v>
      </c>
      <c r="BG29" s="7">
        <v>29.2</v>
      </c>
    </row>
    <row r="30" spans="1:59">
      <c r="A30" s="31">
        <v>45971</v>
      </c>
      <c r="B30" s="3">
        <v>25.2</v>
      </c>
      <c r="C30" s="4" t="s">
        <v>163</v>
      </c>
      <c r="D30" s="5" t="s">
        <v>163</v>
      </c>
      <c r="E30" s="6" t="s">
        <v>163</v>
      </c>
      <c r="F30" s="1" t="s">
        <v>163</v>
      </c>
      <c r="G30" s="7" t="s">
        <v>163</v>
      </c>
      <c r="H30" s="3" t="s">
        <v>163</v>
      </c>
      <c r="I30" s="4">
        <v>26.4</v>
      </c>
      <c r="J30" s="5">
        <v>27</v>
      </c>
      <c r="K30" s="6">
        <v>27.3</v>
      </c>
      <c r="L30" s="1">
        <v>24.9</v>
      </c>
      <c r="M30" s="7">
        <v>23.5</v>
      </c>
      <c r="N30" s="3" t="s">
        <v>163</v>
      </c>
      <c r="O30" s="4">
        <v>25</v>
      </c>
      <c r="P30" s="5" t="s">
        <v>163</v>
      </c>
      <c r="Q30" s="6" t="s">
        <v>163</v>
      </c>
      <c r="R30" s="1" t="s">
        <v>163</v>
      </c>
      <c r="S30" s="7" t="s">
        <v>163</v>
      </c>
      <c r="T30" s="3" t="s">
        <v>163</v>
      </c>
      <c r="U30" s="4" t="s">
        <v>163</v>
      </c>
      <c r="V30" s="5" t="s">
        <v>163</v>
      </c>
      <c r="W30" s="6" t="s">
        <v>163</v>
      </c>
      <c r="X30" s="1" t="s">
        <v>163</v>
      </c>
      <c r="Y30" s="7">
        <v>23.8</v>
      </c>
      <c r="Z30" s="3" t="s">
        <v>163</v>
      </c>
      <c r="AA30" s="4" t="s">
        <v>163</v>
      </c>
      <c r="AB30" s="5">
        <v>27.9</v>
      </c>
      <c r="AC30" s="6">
        <v>30.1</v>
      </c>
      <c r="AD30" s="1" t="s">
        <v>163</v>
      </c>
      <c r="AE30" s="7">
        <v>30.5</v>
      </c>
      <c r="AF30" s="3" t="s">
        <v>163</v>
      </c>
      <c r="AG30" s="4" t="s">
        <v>163</v>
      </c>
      <c r="AH30" s="5">
        <v>26.4</v>
      </c>
      <c r="AI30" s="6">
        <v>28.1</v>
      </c>
      <c r="AJ30" s="1">
        <v>24.4</v>
      </c>
      <c r="AK30" s="7">
        <v>28</v>
      </c>
      <c r="AL30" s="3" t="s">
        <v>163</v>
      </c>
      <c r="AM30" s="5" t="s">
        <v>163</v>
      </c>
      <c r="AN30" s="6" t="s">
        <v>163</v>
      </c>
      <c r="AO30" s="7">
        <v>26.5</v>
      </c>
      <c r="AP30" s="3" t="s">
        <v>163</v>
      </c>
      <c r="AQ30" s="4">
        <v>24.7</v>
      </c>
      <c r="AR30" s="5">
        <v>30.5</v>
      </c>
      <c r="AS30" s="6">
        <v>26.7</v>
      </c>
      <c r="AT30" s="1">
        <v>25.1</v>
      </c>
      <c r="AU30" s="7">
        <v>27.5</v>
      </c>
      <c r="AV30" s="3" t="s">
        <v>163</v>
      </c>
      <c r="AW30" s="4">
        <v>29</v>
      </c>
      <c r="AX30" s="5">
        <v>28.8</v>
      </c>
      <c r="AY30" s="6">
        <v>28.4</v>
      </c>
      <c r="AZ30" s="1" t="s">
        <v>163</v>
      </c>
      <c r="BA30" s="7">
        <v>27.6</v>
      </c>
      <c r="BB30" s="3">
        <v>30.6</v>
      </c>
      <c r="BC30" s="4">
        <v>28.4</v>
      </c>
      <c r="BD30" s="5">
        <v>30</v>
      </c>
      <c r="BE30" s="6">
        <v>28.2</v>
      </c>
      <c r="BF30" s="1">
        <v>27.4</v>
      </c>
      <c r="BG30" s="7">
        <v>29.1</v>
      </c>
    </row>
    <row r="31" spans="1:59">
      <c r="A31" s="53">
        <v>45972</v>
      </c>
      <c r="B31" s="3">
        <v>24.1</v>
      </c>
      <c r="C31" s="4" t="s">
        <v>163</v>
      </c>
      <c r="D31" s="5" t="s">
        <v>163</v>
      </c>
      <c r="E31" s="6" t="s">
        <v>163</v>
      </c>
      <c r="F31" s="1" t="s">
        <v>163</v>
      </c>
      <c r="G31" s="7" t="s">
        <v>163</v>
      </c>
      <c r="H31" s="3" t="s">
        <v>163</v>
      </c>
      <c r="I31" s="4">
        <v>25.5</v>
      </c>
      <c r="J31" s="5" t="s">
        <v>163</v>
      </c>
      <c r="K31" s="6">
        <v>26.5</v>
      </c>
      <c r="L31" s="1">
        <v>24.7</v>
      </c>
      <c r="M31" s="7" t="s">
        <v>163</v>
      </c>
      <c r="N31" s="3" t="s">
        <v>163</v>
      </c>
      <c r="O31" s="4">
        <v>23</v>
      </c>
      <c r="P31" s="5" t="s">
        <v>163</v>
      </c>
      <c r="Q31" s="6" t="s">
        <v>163</v>
      </c>
      <c r="R31" s="1" t="s">
        <v>163</v>
      </c>
      <c r="S31" s="7" t="s">
        <v>163</v>
      </c>
      <c r="T31" s="3" t="s">
        <v>163</v>
      </c>
      <c r="U31" s="4" t="s">
        <v>163</v>
      </c>
      <c r="V31" s="5" t="s">
        <v>163</v>
      </c>
      <c r="W31" s="6" t="s">
        <v>163</v>
      </c>
      <c r="X31" s="1" t="s">
        <v>163</v>
      </c>
      <c r="Y31" s="7" t="s">
        <v>163</v>
      </c>
      <c r="Z31" s="3" t="s">
        <v>163</v>
      </c>
      <c r="AA31" s="4" t="s">
        <v>163</v>
      </c>
      <c r="AB31" s="5">
        <v>27.5</v>
      </c>
      <c r="AC31" s="6">
        <v>29</v>
      </c>
      <c r="AD31" s="1" t="s">
        <v>163</v>
      </c>
      <c r="AE31" s="7">
        <v>30.7</v>
      </c>
      <c r="AF31" s="3" t="s">
        <v>163</v>
      </c>
      <c r="AG31" s="4" t="s">
        <v>163</v>
      </c>
      <c r="AH31" s="5">
        <v>26.2</v>
      </c>
      <c r="AI31" s="6">
        <v>27.8</v>
      </c>
      <c r="AJ31" s="1">
        <v>23.9</v>
      </c>
      <c r="AK31" s="7">
        <v>28.4</v>
      </c>
      <c r="AL31" s="3" t="s">
        <v>163</v>
      </c>
      <c r="AM31" s="5" t="s">
        <v>163</v>
      </c>
      <c r="AN31" s="6" t="s">
        <v>163</v>
      </c>
      <c r="AO31" s="7" t="s">
        <v>163</v>
      </c>
      <c r="AP31" s="3" t="s">
        <v>163</v>
      </c>
      <c r="AQ31" s="4">
        <v>25.9</v>
      </c>
      <c r="AR31" s="5">
        <v>31</v>
      </c>
      <c r="AS31" s="6">
        <v>26.9</v>
      </c>
      <c r="AT31" s="1">
        <v>25</v>
      </c>
      <c r="AU31" s="7">
        <v>27.8</v>
      </c>
      <c r="AV31" s="3" t="s">
        <v>163</v>
      </c>
      <c r="AW31" s="4">
        <v>29.3</v>
      </c>
      <c r="AX31" s="5">
        <v>29</v>
      </c>
      <c r="AY31" s="6">
        <v>28.9</v>
      </c>
      <c r="AZ31" s="1" t="s">
        <v>163</v>
      </c>
      <c r="BA31" s="7">
        <v>28.1</v>
      </c>
      <c r="BB31" s="3">
        <v>31.1</v>
      </c>
      <c r="BC31" s="4">
        <v>28.8</v>
      </c>
      <c r="BD31" s="5">
        <v>30.8</v>
      </c>
      <c r="BE31" s="6">
        <v>28.1</v>
      </c>
      <c r="BF31" s="1">
        <v>28</v>
      </c>
      <c r="BG31" s="7">
        <v>29.3</v>
      </c>
    </row>
    <row r="32" spans="1:59">
      <c r="A32" s="31">
        <v>45973</v>
      </c>
      <c r="B32" s="3">
        <v>22.5</v>
      </c>
      <c r="C32" s="4" t="s">
        <v>163</v>
      </c>
      <c r="D32" s="5" t="s">
        <v>163</v>
      </c>
      <c r="E32" s="6" t="s">
        <v>163</v>
      </c>
      <c r="F32" s="1" t="s">
        <v>163</v>
      </c>
      <c r="G32" s="7" t="s">
        <v>163</v>
      </c>
      <c r="H32" s="3" t="s">
        <v>163</v>
      </c>
      <c r="I32" s="4">
        <v>25.1</v>
      </c>
      <c r="J32" s="5" t="s">
        <v>163</v>
      </c>
      <c r="K32" s="6">
        <v>25.8</v>
      </c>
      <c r="L32" s="1">
        <v>23.6</v>
      </c>
      <c r="M32" s="7" t="s">
        <v>163</v>
      </c>
      <c r="N32" s="3" t="s">
        <v>163</v>
      </c>
      <c r="O32" s="4">
        <v>21.3</v>
      </c>
      <c r="P32" s="5" t="s">
        <v>163</v>
      </c>
      <c r="Q32" s="6" t="s">
        <v>163</v>
      </c>
      <c r="R32" s="1" t="s">
        <v>163</v>
      </c>
      <c r="S32" s="7" t="s">
        <v>163</v>
      </c>
      <c r="T32" s="3" t="s">
        <v>163</v>
      </c>
      <c r="U32" s="4" t="s">
        <v>163</v>
      </c>
      <c r="V32" s="5" t="s">
        <v>163</v>
      </c>
      <c r="W32" s="6" t="s">
        <v>163</v>
      </c>
      <c r="X32" s="1" t="s">
        <v>163</v>
      </c>
      <c r="Y32" s="7" t="s">
        <v>163</v>
      </c>
      <c r="Z32" s="3" t="s">
        <v>163</v>
      </c>
      <c r="AA32" s="4" t="s">
        <v>163</v>
      </c>
      <c r="AB32" s="5">
        <v>27.7</v>
      </c>
      <c r="AC32" s="6">
        <v>28.2</v>
      </c>
      <c r="AD32" s="1" t="s">
        <v>163</v>
      </c>
      <c r="AE32" s="7">
        <v>30.6</v>
      </c>
      <c r="AF32" s="3" t="s">
        <v>163</v>
      </c>
      <c r="AG32" s="4" t="s">
        <v>163</v>
      </c>
      <c r="AH32" s="5">
        <v>26</v>
      </c>
      <c r="AI32" s="6">
        <v>27.1</v>
      </c>
      <c r="AJ32" s="1">
        <v>23.2</v>
      </c>
      <c r="AK32" s="7">
        <v>28.2</v>
      </c>
      <c r="AL32" s="3" t="s">
        <v>163</v>
      </c>
      <c r="AM32" s="5" t="s">
        <v>163</v>
      </c>
      <c r="AN32" s="6" t="s">
        <v>163</v>
      </c>
      <c r="AO32" s="7" t="s">
        <v>163</v>
      </c>
      <c r="AP32" s="3" t="s">
        <v>163</v>
      </c>
      <c r="AQ32" s="4">
        <v>25.6</v>
      </c>
      <c r="AR32" s="5">
        <v>30.7</v>
      </c>
      <c r="AS32" s="6">
        <v>27</v>
      </c>
      <c r="AT32" s="1">
        <v>25.4</v>
      </c>
      <c r="AU32" s="7">
        <v>27.5</v>
      </c>
      <c r="AV32" s="3" t="s">
        <v>163</v>
      </c>
      <c r="AW32" s="4">
        <v>29.3</v>
      </c>
      <c r="AX32" s="5">
        <v>29.2</v>
      </c>
      <c r="AY32" s="6">
        <v>28.7</v>
      </c>
      <c r="AZ32" s="1" t="s">
        <v>163</v>
      </c>
      <c r="BA32" s="7">
        <v>28.2</v>
      </c>
      <c r="BB32" s="3">
        <v>30.7</v>
      </c>
      <c r="BC32" s="4">
        <v>28.5</v>
      </c>
      <c r="BD32" s="5">
        <v>30.4</v>
      </c>
      <c r="BE32" s="6">
        <v>27.9</v>
      </c>
      <c r="BF32" s="1">
        <v>27.4</v>
      </c>
      <c r="BG32" s="7">
        <v>29.3</v>
      </c>
    </row>
    <row r="33" spans="1:59">
      <c r="A33" s="53">
        <v>45974</v>
      </c>
      <c r="B33" s="3" t="s">
        <v>163</v>
      </c>
      <c r="C33" s="4" t="s">
        <v>163</v>
      </c>
      <c r="D33" s="5" t="s">
        <v>163</v>
      </c>
      <c r="E33" s="6" t="s">
        <v>163</v>
      </c>
      <c r="F33" s="1" t="s">
        <v>163</v>
      </c>
      <c r="G33" s="7" t="s">
        <v>163</v>
      </c>
      <c r="H33" s="3" t="s">
        <v>163</v>
      </c>
      <c r="I33" s="4" t="s">
        <v>163</v>
      </c>
      <c r="J33" s="5" t="s">
        <v>163</v>
      </c>
      <c r="K33" s="6" t="s">
        <v>163</v>
      </c>
      <c r="L33" s="1" t="s">
        <v>163</v>
      </c>
      <c r="M33" s="7" t="s">
        <v>163</v>
      </c>
      <c r="N33" s="3" t="s">
        <v>163</v>
      </c>
      <c r="O33" s="4" t="s">
        <v>163</v>
      </c>
      <c r="P33" s="5" t="s">
        <v>163</v>
      </c>
      <c r="Q33" s="6" t="s">
        <v>163</v>
      </c>
      <c r="R33" s="1" t="s">
        <v>163</v>
      </c>
      <c r="S33" s="7" t="s">
        <v>163</v>
      </c>
      <c r="T33" s="3" t="s">
        <v>163</v>
      </c>
      <c r="U33" s="4" t="s">
        <v>163</v>
      </c>
      <c r="V33" s="5" t="s">
        <v>163</v>
      </c>
      <c r="W33" s="6" t="s">
        <v>163</v>
      </c>
      <c r="X33" s="1" t="s">
        <v>163</v>
      </c>
      <c r="Y33" s="7" t="s">
        <v>163</v>
      </c>
      <c r="Z33" s="3" t="s">
        <v>163</v>
      </c>
      <c r="AA33" s="4" t="s">
        <v>163</v>
      </c>
      <c r="AB33" s="5">
        <v>28</v>
      </c>
      <c r="AC33" s="6" t="s">
        <v>163</v>
      </c>
      <c r="AD33" s="1" t="s">
        <v>163</v>
      </c>
      <c r="AE33" s="7">
        <v>30.2</v>
      </c>
      <c r="AF33" s="3" t="s">
        <v>163</v>
      </c>
      <c r="AG33" s="4" t="s">
        <v>163</v>
      </c>
      <c r="AH33" s="5">
        <v>26.2</v>
      </c>
      <c r="AI33" s="6">
        <v>26.1</v>
      </c>
      <c r="AJ33" s="1" t="s">
        <v>163</v>
      </c>
      <c r="AK33" s="7">
        <v>28.5</v>
      </c>
      <c r="AL33" s="3" t="s">
        <v>163</v>
      </c>
      <c r="AM33" s="5" t="s">
        <v>163</v>
      </c>
      <c r="AN33" s="6" t="s">
        <v>163</v>
      </c>
      <c r="AO33" s="7" t="s">
        <v>163</v>
      </c>
      <c r="AP33" s="3" t="s">
        <v>163</v>
      </c>
      <c r="AQ33" s="4">
        <v>26</v>
      </c>
      <c r="AR33" s="5">
        <v>30.5</v>
      </c>
      <c r="AS33" s="6">
        <v>26.7</v>
      </c>
      <c r="AT33" s="1">
        <v>25.5</v>
      </c>
      <c r="AU33" s="7">
        <v>28.1</v>
      </c>
      <c r="AV33" s="3" t="s">
        <v>163</v>
      </c>
      <c r="AW33" s="4">
        <v>29.3</v>
      </c>
      <c r="AX33" s="5">
        <v>28.9</v>
      </c>
      <c r="AY33" s="6">
        <v>28.8</v>
      </c>
      <c r="AZ33" s="1" t="s">
        <v>163</v>
      </c>
      <c r="BA33" s="7">
        <v>28.2</v>
      </c>
      <c r="BB33" s="3">
        <v>30.7</v>
      </c>
      <c r="BC33" s="4">
        <v>28.8</v>
      </c>
      <c r="BD33" s="5">
        <v>31.1</v>
      </c>
      <c r="BE33" s="6">
        <v>28.1</v>
      </c>
      <c r="BF33" s="1">
        <v>27.5</v>
      </c>
      <c r="BG33" s="7">
        <v>29.2</v>
      </c>
    </row>
    <row r="34" spans="1:59">
      <c r="A34" s="31">
        <v>45975</v>
      </c>
      <c r="B34" s="3" t="s">
        <v>163</v>
      </c>
      <c r="C34" s="4" t="s">
        <v>163</v>
      </c>
      <c r="D34" s="5" t="s">
        <v>163</v>
      </c>
      <c r="E34" s="6" t="s">
        <v>163</v>
      </c>
      <c r="F34" s="1" t="s">
        <v>163</v>
      </c>
      <c r="G34" s="7" t="s">
        <v>163</v>
      </c>
      <c r="H34" s="3" t="s">
        <v>163</v>
      </c>
      <c r="I34" s="4" t="s">
        <v>163</v>
      </c>
      <c r="J34" s="5" t="s">
        <v>163</v>
      </c>
      <c r="K34" s="6" t="s">
        <v>163</v>
      </c>
      <c r="L34" s="1" t="s">
        <v>163</v>
      </c>
      <c r="M34" s="7" t="s">
        <v>163</v>
      </c>
      <c r="N34" s="3" t="s">
        <v>163</v>
      </c>
      <c r="O34" s="4" t="s">
        <v>163</v>
      </c>
      <c r="P34" s="5" t="s">
        <v>163</v>
      </c>
      <c r="Q34" s="6" t="s">
        <v>163</v>
      </c>
      <c r="R34" s="1" t="s">
        <v>163</v>
      </c>
      <c r="S34" s="7" t="s">
        <v>163</v>
      </c>
      <c r="T34" s="3" t="s">
        <v>163</v>
      </c>
      <c r="U34" s="4" t="s">
        <v>163</v>
      </c>
      <c r="V34" s="5" t="s">
        <v>163</v>
      </c>
      <c r="W34" s="6" t="s">
        <v>163</v>
      </c>
      <c r="X34" s="1" t="s">
        <v>163</v>
      </c>
      <c r="Y34" s="7" t="s">
        <v>163</v>
      </c>
      <c r="Z34" s="3" t="s">
        <v>163</v>
      </c>
      <c r="AA34" s="4" t="s">
        <v>163</v>
      </c>
      <c r="AB34" s="5">
        <v>27.7</v>
      </c>
      <c r="AC34" s="6" t="s">
        <v>163</v>
      </c>
      <c r="AD34" s="1" t="s">
        <v>163</v>
      </c>
      <c r="AE34" s="7">
        <v>29.9</v>
      </c>
      <c r="AF34" s="3" t="s">
        <v>163</v>
      </c>
      <c r="AG34" s="4" t="s">
        <v>163</v>
      </c>
      <c r="AH34" s="5">
        <v>25.8</v>
      </c>
      <c r="AI34" s="6">
        <v>23.9</v>
      </c>
      <c r="AJ34" s="1" t="s">
        <v>163</v>
      </c>
      <c r="AK34" s="7">
        <v>28.6</v>
      </c>
      <c r="AL34" s="3" t="s">
        <v>163</v>
      </c>
      <c r="AM34" s="5" t="s">
        <v>163</v>
      </c>
      <c r="AN34" s="6" t="s">
        <v>163</v>
      </c>
      <c r="AO34" s="7" t="s">
        <v>163</v>
      </c>
      <c r="AP34" s="3" t="s">
        <v>163</v>
      </c>
      <c r="AQ34" s="4">
        <v>26.1</v>
      </c>
      <c r="AR34" s="5">
        <v>30.8</v>
      </c>
      <c r="AS34" s="6">
        <v>26.1</v>
      </c>
      <c r="AT34" s="1">
        <v>25.1</v>
      </c>
      <c r="AU34" s="7">
        <v>27.8</v>
      </c>
      <c r="AV34" s="3" t="s">
        <v>163</v>
      </c>
      <c r="AW34" s="4">
        <v>29.3</v>
      </c>
      <c r="AX34" s="5">
        <v>28.8</v>
      </c>
      <c r="AY34" s="6">
        <v>28.5</v>
      </c>
      <c r="AZ34" s="1" t="s">
        <v>163</v>
      </c>
      <c r="BA34" s="7">
        <v>28.1</v>
      </c>
      <c r="BB34" s="3">
        <v>30.2</v>
      </c>
      <c r="BC34" s="4">
        <v>28.6</v>
      </c>
      <c r="BD34" s="5">
        <v>30.7</v>
      </c>
      <c r="BE34" s="6">
        <v>27.8</v>
      </c>
      <c r="BF34" s="1">
        <v>27.3</v>
      </c>
      <c r="BG34" s="7">
        <v>29.2</v>
      </c>
    </row>
    <row r="35" spans="1:59">
      <c r="A35" s="31"/>
      <c r="B35" s="3"/>
      <c r="C35" s="4"/>
      <c r="D35" s="5"/>
      <c r="E35" s="6"/>
      <c r="F35" s="1"/>
      <c r="G35" s="7"/>
      <c r="H35" s="3"/>
      <c r="I35" s="4"/>
      <c r="J35" s="5"/>
      <c r="K35" s="6"/>
      <c r="L35" s="1"/>
      <c r="M35" s="7"/>
      <c r="N35" s="3"/>
      <c r="O35" s="4"/>
      <c r="P35" s="5"/>
      <c r="Q35" s="6"/>
      <c r="R35" s="1"/>
      <c r="S35" s="7"/>
      <c r="T35" s="3"/>
      <c r="U35" s="4"/>
      <c r="V35" s="5"/>
      <c r="W35" s="6"/>
      <c r="X35" s="1"/>
      <c r="Y35" s="7"/>
      <c r="Z35" s="3"/>
      <c r="AA35" s="4"/>
      <c r="AB35" s="5"/>
      <c r="AC35" s="6"/>
      <c r="AD35" s="1"/>
      <c r="AE35" s="7"/>
      <c r="AF35" s="3"/>
      <c r="AG35" s="4"/>
      <c r="AH35" s="5"/>
      <c r="AI35" s="6"/>
      <c r="AJ35" s="1"/>
      <c r="AK35" s="7"/>
      <c r="AL35" s="3"/>
      <c r="AM35" s="5"/>
      <c r="AN35" s="6"/>
      <c r="AO35" s="7"/>
      <c r="AP35" s="3"/>
      <c r="AQ35" s="4"/>
      <c r="AR35" s="5"/>
      <c r="AS35" s="6"/>
      <c r="AT35" s="1"/>
      <c r="AU35" s="7"/>
      <c r="AV35" s="3"/>
      <c r="AW35" s="4"/>
      <c r="AX35" s="5"/>
      <c r="AY35" s="6"/>
      <c r="AZ35" s="1"/>
      <c r="BA35" s="7"/>
      <c r="BB35" s="3"/>
      <c r="BC35" s="4"/>
      <c r="BD35" s="5"/>
      <c r="BE35" s="6"/>
      <c r="BF35" s="1"/>
      <c r="BG35" s="7"/>
    </row>
    <row r="37" spans="1:59">
      <c r="A37" s="50">
        <f>A16-A16</f>
        <v>0</v>
      </c>
      <c r="B37" s="40">
        <f>B16-B16</f>
        <v>0</v>
      </c>
      <c r="C37" s="40">
        <f>C16-C16</f>
        <v>0</v>
      </c>
      <c r="D37" s="40">
        <f t="shared" ref="D37:BG37" si="0">D16-D16</f>
        <v>0</v>
      </c>
      <c r="E37" s="40">
        <f t="shared" si="0"/>
        <v>0</v>
      </c>
      <c r="F37" s="40">
        <f t="shared" si="0"/>
        <v>0</v>
      </c>
      <c r="G37" s="40">
        <f t="shared" si="0"/>
        <v>0</v>
      </c>
      <c r="H37" s="40">
        <f t="shared" si="0"/>
        <v>0</v>
      </c>
      <c r="I37" s="40">
        <f t="shared" si="0"/>
        <v>0</v>
      </c>
      <c r="J37" s="40">
        <f t="shared" si="0"/>
        <v>0</v>
      </c>
      <c r="K37" s="40">
        <f t="shared" si="0"/>
        <v>0</v>
      </c>
      <c r="L37" s="40">
        <f t="shared" si="0"/>
        <v>0</v>
      </c>
      <c r="M37" s="40">
        <f t="shared" si="0"/>
        <v>0</v>
      </c>
      <c r="N37" s="40">
        <f t="shared" si="0"/>
        <v>0</v>
      </c>
      <c r="O37" s="40">
        <f t="shared" si="0"/>
        <v>0</v>
      </c>
      <c r="P37" s="40">
        <f t="shared" si="0"/>
        <v>0</v>
      </c>
      <c r="Q37" s="40">
        <f t="shared" si="0"/>
        <v>0</v>
      </c>
      <c r="R37" s="40">
        <f t="shared" si="0"/>
        <v>0</v>
      </c>
      <c r="S37" s="40">
        <f t="shared" si="0"/>
        <v>0</v>
      </c>
      <c r="T37" s="40">
        <f t="shared" si="0"/>
        <v>0</v>
      </c>
      <c r="U37" s="40">
        <f t="shared" si="0"/>
        <v>0</v>
      </c>
      <c r="V37" s="40">
        <f t="shared" si="0"/>
        <v>0</v>
      </c>
      <c r="W37" s="40">
        <f t="shared" si="0"/>
        <v>0</v>
      </c>
      <c r="X37" s="40">
        <f t="shared" si="0"/>
        <v>0</v>
      </c>
      <c r="Y37" s="40">
        <f t="shared" si="0"/>
        <v>0</v>
      </c>
      <c r="Z37" s="40">
        <f t="shared" si="0"/>
        <v>0</v>
      </c>
      <c r="AA37" s="40">
        <f t="shared" si="0"/>
        <v>0</v>
      </c>
      <c r="AB37" s="40">
        <f t="shared" si="0"/>
        <v>0</v>
      </c>
      <c r="AC37" s="40">
        <f t="shared" si="0"/>
        <v>0</v>
      </c>
      <c r="AD37" s="40">
        <f t="shared" si="0"/>
        <v>0</v>
      </c>
      <c r="AE37" s="40">
        <f t="shared" si="0"/>
        <v>0</v>
      </c>
      <c r="AF37" s="40">
        <f t="shared" si="0"/>
        <v>0</v>
      </c>
      <c r="AG37" s="40">
        <f t="shared" si="0"/>
        <v>0</v>
      </c>
      <c r="AH37" s="40">
        <f t="shared" si="0"/>
        <v>0</v>
      </c>
      <c r="AI37" s="40">
        <f t="shared" si="0"/>
        <v>0</v>
      </c>
      <c r="AJ37" s="40">
        <f t="shared" si="0"/>
        <v>0</v>
      </c>
      <c r="AK37" s="40">
        <f t="shared" si="0"/>
        <v>0</v>
      </c>
      <c r="AL37" s="40">
        <f t="shared" si="0"/>
        <v>0</v>
      </c>
      <c r="AM37" s="40">
        <f t="shared" si="0"/>
        <v>0</v>
      </c>
      <c r="AN37" s="40">
        <f t="shared" si="0"/>
        <v>0</v>
      </c>
      <c r="AO37" s="40">
        <f t="shared" si="0"/>
        <v>0</v>
      </c>
      <c r="AP37" s="40">
        <f t="shared" si="0"/>
        <v>0</v>
      </c>
      <c r="AQ37" s="40">
        <f t="shared" si="0"/>
        <v>0</v>
      </c>
      <c r="AR37" s="40">
        <f t="shared" si="0"/>
        <v>0</v>
      </c>
      <c r="AS37" s="40">
        <f t="shared" si="0"/>
        <v>0</v>
      </c>
      <c r="AT37" s="40">
        <f t="shared" si="0"/>
        <v>0</v>
      </c>
      <c r="AU37" s="40">
        <f t="shared" si="0"/>
        <v>0</v>
      </c>
      <c r="AV37" s="40">
        <f t="shared" si="0"/>
        <v>0</v>
      </c>
      <c r="AW37" s="40">
        <f t="shared" si="0"/>
        <v>0</v>
      </c>
      <c r="AX37" s="40">
        <f t="shared" si="0"/>
        <v>0</v>
      </c>
      <c r="AY37" s="40">
        <f t="shared" si="0"/>
        <v>0</v>
      </c>
      <c r="AZ37" s="40">
        <f t="shared" si="0"/>
        <v>0</v>
      </c>
      <c r="BA37" s="40">
        <f t="shared" si="0"/>
        <v>0</v>
      </c>
      <c r="BB37" s="40">
        <f t="shared" si="0"/>
        <v>0</v>
      </c>
      <c r="BC37" s="40">
        <f t="shared" si="0"/>
        <v>0</v>
      </c>
      <c r="BD37" s="40">
        <f t="shared" si="0"/>
        <v>0</v>
      </c>
      <c r="BE37" s="40">
        <f t="shared" si="0"/>
        <v>0</v>
      </c>
      <c r="BF37" s="40">
        <f t="shared" si="0"/>
        <v>0</v>
      </c>
      <c r="BG37" s="40">
        <f t="shared" si="0"/>
        <v>0</v>
      </c>
    </row>
    <row r="38" spans="1:59">
      <c r="A38" s="50">
        <f>A17-A16</f>
        <v>2</v>
      </c>
      <c r="B38" s="40">
        <f>B17-B16</f>
        <v>-9.9999999999997868E-2</v>
      </c>
      <c r="C38" s="40">
        <f>C17-C16</f>
        <v>-0.69999999999999929</v>
      </c>
      <c r="D38" s="40">
        <f t="shared" ref="D38:BG38" si="1">D17-D16</f>
        <v>0.10000000000000142</v>
      </c>
      <c r="E38" s="40">
        <f t="shared" si="1"/>
        <v>-9.9999999999997868E-2</v>
      </c>
      <c r="F38" s="40">
        <f t="shared" si="1"/>
        <v>0.40000000000000213</v>
      </c>
      <c r="G38" s="40">
        <f t="shared" si="1"/>
        <v>-0.10000000000000142</v>
      </c>
      <c r="H38" s="40">
        <f t="shared" si="1"/>
        <v>-0.19999999999999929</v>
      </c>
      <c r="I38" s="40">
        <f t="shared" si="1"/>
        <v>0.30000000000000071</v>
      </c>
      <c r="J38" s="40">
        <f t="shared" si="1"/>
        <v>-0.59999999999999787</v>
      </c>
      <c r="K38" s="40">
        <f t="shared" si="1"/>
        <v>-0.30000000000000071</v>
      </c>
      <c r="L38" s="40">
        <f t="shared" si="1"/>
        <v>-0.19999999999999929</v>
      </c>
      <c r="M38" s="40">
        <f t="shared" si="1"/>
        <v>-9.9999999999997868E-2</v>
      </c>
      <c r="N38" s="40">
        <f t="shared" si="1"/>
        <v>0.40000000000000213</v>
      </c>
      <c r="O38" s="40">
        <f t="shared" si="1"/>
        <v>0.19999999999999929</v>
      </c>
      <c r="P38" s="40">
        <f t="shared" si="1"/>
        <v>0.19999999999999929</v>
      </c>
      <c r="Q38" s="40">
        <f t="shared" si="1"/>
        <v>-0.19999999999999929</v>
      </c>
      <c r="R38" s="40">
        <f t="shared" si="1"/>
        <v>-0.19999999999999929</v>
      </c>
      <c r="S38" s="40">
        <f t="shared" si="1"/>
        <v>0.60000000000000142</v>
      </c>
      <c r="T38" s="40">
        <f t="shared" si="1"/>
        <v>0</v>
      </c>
      <c r="U38" s="40">
        <f t="shared" si="1"/>
        <v>0</v>
      </c>
      <c r="V38" s="40">
        <f t="shared" si="1"/>
        <v>-0.59999999999999787</v>
      </c>
      <c r="W38" s="40">
        <f t="shared" si="1"/>
        <v>-0.30000000000000071</v>
      </c>
      <c r="X38" s="40">
        <f t="shared" si="1"/>
        <v>-0.19999999999999929</v>
      </c>
      <c r="Y38" s="40">
        <f t="shared" si="1"/>
        <v>-0.80000000000000071</v>
      </c>
      <c r="Z38" s="40">
        <f t="shared" si="1"/>
        <v>0.19999999999999929</v>
      </c>
      <c r="AA38" s="40">
        <f t="shared" si="1"/>
        <v>0.20000000000000284</v>
      </c>
      <c r="AB38" s="40">
        <f t="shared" si="1"/>
        <v>0.19999999999999929</v>
      </c>
      <c r="AC38" s="40">
        <f t="shared" si="1"/>
        <v>1.5</v>
      </c>
      <c r="AD38" s="40">
        <f t="shared" si="1"/>
        <v>0.89999999999999858</v>
      </c>
      <c r="AE38" s="40">
        <f t="shared" si="1"/>
        <v>0.19999999999999929</v>
      </c>
      <c r="AF38" s="40">
        <f t="shared" si="1"/>
        <v>-0.19999999999999929</v>
      </c>
      <c r="AG38" s="40">
        <f t="shared" si="1"/>
        <v>0.30000000000000071</v>
      </c>
      <c r="AH38" s="40">
        <f t="shared" si="1"/>
        <v>0</v>
      </c>
      <c r="AI38" s="40">
        <f t="shared" si="1"/>
        <v>0.89999999999999858</v>
      </c>
      <c r="AJ38" s="40">
        <f t="shared" si="1"/>
        <v>0.30000000000000071</v>
      </c>
      <c r="AK38" s="40">
        <f t="shared" si="1"/>
        <v>0.60000000000000142</v>
      </c>
      <c r="AL38" s="40">
        <f t="shared" si="1"/>
        <v>-0.40000000000000213</v>
      </c>
      <c r="AM38" s="40">
        <f t="shared" si="1"/>
        <v>-0.19999999999999929</v>
      </c>
      <c r="AN38" s="40">
        <f t="shared" si="1"/>
        <v>-0.19999999999999929</v>
      </c>
      <c r="AO38" s="40">
        <f t="shared" si="1"/>
        <v>0.10000000000000142</v>
      </c>
      <c r="AP38" s="40">
        <f t="shared" si="1"/>
        <v>-0.29999999999999716</v>
      </c>
      <c r="AQ38" s="40">
        <f t="shared" si="1"/>
        <v>-1</v>
      </c>
      <c r="AR38" s="40">
        <f t="shared" si="1"/>
        <v>-0.10000000000000142</v>
      </c>
      <c r="AS38" s="40">
        <f t="shared" si="1"/>
        <v>0.30000000000000071</v>
      </c>
      <c r="AT38" s="40">
        <f t="shared" si="1"/>
        <v>-0.10000000000000142</v>
      </c>
      <c r="AU38" s="40">
        <f t="shared" si="1"/>
        <v>0</v>
      </c>
      <c r="AV38" s="40">
        <f t="shared" si="1"/>
        <v>0.19999999999999929</v>
      </c>
      <c r="AW38" s="40">
        <f t="shared" si="1"/>
        <v>-0.30000000000000071</v>
      </c>
      <c r="AX38" s="40">
        <f t="shared" si="1"/>
        <v>-0.39999999999999858</v>
      </c>
      <c r="AY38" s="40">
        <f t="shared" si="1"/>
        <v>-9.9999999999997868E-2</v>
      </c>
      <c r="AZ38" s="40">
        <f t="shared" si="1"/>
        <v>0.90000000000000213</v>
      </c>
      <c r="BA38" s="40">
        <f t="shared" si="1"/>
        <v>9.9999999999997868E-2</v>
      </c>
      <c r="BB38" s="40">
        <f t="shared" si="1"/>
        <v>0</v>
      </c>
      <c r="BC38" s="40">
        <f t="shared" si="1"/>
        <v>0.5</v>
      </c>
      <c r="BD38" s="40">
        <f t="shared" si="1"/>
        <v>0.5</v>
      </c>
      <c r="BE38" s="40">
        <f t="shared" si="1"/>
        <v>0.39999999999999858</v>
      </c>
      <c r="BF38" s="40">
        <f t="shared" si="1"/>
        <v>-0.30000000000000071</v>
      </c>
      <c r="BG38" s="40">
        <f t="shared" si="1"/>
        <v>0</v>
      </c>
    </row>
    <row r="39" spans="1:59">
      <c r="A39" s="50">
        <f>A18-A16</f>
        <v>5</v>
      </c>
      <c r="B39" s="40">
        <f>B18-B16</f>
        <v>0.10000000000000142</v>
      </c>
      <c r="C39" s="40">
        <f>C18-C16</f>
        <v>-1.1999999999999993</v>
      </c>
      <c r="D39" s="40">
        <f t="shared" ref="D39:BG39" si="2">D18-D16</f>
        <v>-0.39999999999999858</v>
      </c>
      <c r="E39" s="40">
        <f t="shared" si="2"/>
        <v>-0.19999999999999929</v>
      </c>
      <c r="F39" s="40">
        <f t="shared" si="2"/>
        <v>-0.5</v>
      </c>
      <c r="G39" s="40">
        <f t="shared" si="2"/>
        <v>-0.60000000000000142</v>
      </c>
      <c r="H39" s="40">
        <f t="shared" si="2"/>
        <v>-1.1999999999999993</v>
      </c>
      <c r="I39" s="40">
        <f t="shared" si="2"/>
        <v>-0.39999999999999858</v>
      </c>
      <c r="J39" s="40">
        <f t="shared" si="2"/>
        <v>-0.79999999999999716</v>
      </c>
      <c r="K39" s="40">
        <f t="shared" si="2"/>
        <v>-0.39999999999999858</v>
      </c>
      <c r="L39" s="40">
        <f t="shared" si="2"/>
        <v>-0.69999999999999929</v>
      </c>
      <c r="M39" s="40">
        <f t="shared" si="2"/>
        <v>-0.29999999999999716</v>
      </c>
      <c r="N39" s="40">
        <f t="shared" si="2"/>
        <v>-0.19999999999999929</v>
      </c>
      <c r="O39" s="40">
        <f t="shared" si="2"/>
        <v>-0.19999999999999929</v>
      </c>
      <c r="P39" s="40">
        <f t="shared" si="2"/>
        <v>0</v>
      </c>
      <c r="Q39" s="40">
        <f t="shared" si="2"/>
        <v>-0.59999999999999787</v>
      </c>
      <c r="R39" s="40" t="e" vm="1">
        <f t="shared" si="2"/>
        <v>#VALUE!</v>
      </c>
      <c r="S39" s="40">
        <f t="shared" si="2"/>
        <v>0.10000000000000142</v>
      </c>
      <c r="T39" s="40">
        <f t="shared" si="2"/>
        <v>0</v>
      </c>
      <c r="U39" s="40">
        <f t="shared" si="2"/>
        <v>-9.9999999999997868E-2</v>
      </c>
      <c r="V39" s="40">
        <f t="shared" si="2"/>
        <v>-1.0999999999999979</v>
      </c>
      <c r="W39" s="40">
        <f t="shared" si="2"/>
        <v>0.19999999999999929</v>
      </c>
      <c r="X39" s="40">
        <f t="shared" si="2"/>
        <v>-0.69999999999999929</v>
      </c>
      <c r="Y39" s="40">
        <f t="shared" si="2"/>
        <v>-1</v>
      </c>
      <c r="Z39" s="40">
        <f t="shared" si="2"/>
        <v>0</v>
      </c>
      <c r="AA39" s="40">
        <f t="shared" si="2"/>
        <v>0.20000000000000284</v>
      </c>
      <c r="AB39" s="40">
        <f t="shared" si="2"/>
        <v>0</v>
      </c>
      <c r="AC39" s="40">
        <f t="shared" si="2"/>
        <v>1.5</v>
      </c>
      <c r="AD39" s="40">
        <f t="shared" si="2"/>
        <v>0.59999999999999787</v>
      </c>
      <c r="AE39" s="40">
        <f t="shared" si="2"/>
        <v>0.19999999999999929</v>
      </c>
      <c r="AF39" s="40">
        <f t="shared" si="2"/>
        <v>-0.5</v>
      </c>
      <c r="AG39" s="40">
        <f t="shared" si="2"/>
        <v>-0.10000000000000142</v>
      </c>
      <c r="AH39" s="40">
        <f t="shared" si="2"/>
        <v>-0.5</v>
      </c>
      <c r="AI39" s="40">
        <f t="shared" si="2"/>
        <v>0.80000000000000071</v>
      </c>
      <c r="AJ39" s="40">
        <f t="shared" si="2"/>
        <v>0.69999999999999929</v>
      </c>
      <c r="AK39" s="40">
        <f t="shared" si="2"/>
        <v>0.80000000000000071</v>
      </c>
      <c r="AL39" s="40">
        <f t="shared" si="2"/>
        <v>-0.69999999999999929</v>
      </c>
      <c r="AM39" s="40">
        <f t="shared" si="2"/>
        <v>-1.3999999999999986</v>
      </c>
      <c r="AN39" s="40">
        <f t="shared" si="2"/>
        <v>-0.10000000000000142</v>
      </c>
      <c r="AO39" s="40">
        <f t="shared" si="2"/>
        <v>0.10000000000000142</v>
      </c>
      <c r="AP39" s="40">
        <f t="shared" si="2"/>
        <v>0</v>
      </c>
      <c r="AQ39" s="40">
        <f t="shared" si="2"/>
        <v>-0.5</v>
      </c>
      <c r="AR39" s="40">
        <f t="shared" si="2"/>
        <v>0.19999999999999929</v>
      </c>
      <c r="AS39" s="40">
        <f t="shared" si="2"/>
        <v>0.19999999999999929</v>
      </c>
      <c r="AT39" s="40">
        <f t="shared" si="2"/>
        <v>-0.30000000000000071</v>
      </c>
      <c r="AU39" s="40">
        <f t="shared" si="2"/>
        <v>0.10000000000000142</v>
      </c>
      <c r="AV39" s="40">
        <f t="shared" si="2"/>
        <v>0.39999999999999858</v>
      </c>
      <c r="AW39" s="40">
        <f t="shared" si="2"/>
        <v>0</v>
      </c>
      <c r="AX39" s="40">
        <f t="shared" si="2"/>
        <v>0.10000000000000142</v>
      </c>
      <c r="AY39" s="40">
        <f t="shared" si="2"/>
        <v>0.19999999999999929</v>
      </c>
      <c r="AZ39" s="40" t="e" vm="1">
        <f t="shared" si="2"/>
        <v>#VALUE!</v>
      </c>
      <c r="BA39" s="40">
        <f t="shared" si="2"/>
        <v>0.19999999999999929</v>
      </c>
      <c r="BB39" s="40">
        <f t="shared" si="2"/>
        <v>0.40000000000000213</v>
      </c>
      <c r="BC39" s="40">
        <f t="shared" si="2"/>
        <v>0.80000000000000071</v>
      </c>
      <c r="BD39" s="40">
        <f t="shared" si="2"/>
        <v>1.0999999999999979</v>
      </c>
      <c r="BE39" s="40">
        <f t="shared" si="2"/>
        <v>-0.10000000000000142</v>
      </c>
      <c r="BF39" s="40">
        <f t="shared" si="2"/>
        <v>-0.30000000000000071</v>
      </c>
      <c r="BG39" s="40">
        <f t="shared" si="2"/>
        <v>0.19999999999999929</v>
      </c>
    </row>
    <row r="40" spans="1:59">
      <c r="A40" s="50">
        <f>A19-A16</f>
        <v>7</v>
      </c>
      <c r="B40" s="40">
        <f>B19-B16</f>
        <v>0.40000000000000213</v>
      </c>
      <c r="C40" s="40">
        <f>C19-C16</f>
        <v>-1</v>
      </c>
      <c r="D40" s="40">
        <f t="shared" ref="D40:BG40" si="3">D19-D16</f>
        <v>0.19999999999999929</v>
      </c>
      <c r="E40" s="40">
        <f t="shared" si="3"/>
        <v>0</v>
      </c>
      <c r="F40" s="40">
        <f t="shared" si="3"/>
        <v>-0.29999999999999716</v>
      </c>
      <c r="G40" s="40">
        <f t="shared" si="3"/>
        <v>-0.60000000000000142</v>
      </c>
      <c r="H40" s="40">
        <f t="shared" si="3"/>
        <v>-1</v>
      </c>
      <c r="I40" s="40">
        <f t="shared" si="3"/>
        <v>-0.10000000000000142</v>
      </c>
      <c r="J40" s="40">
        <f t="shared" si="3"/>
        <v>0.20000000000000284</v>
      </c>
      <c r="K40" s="40">
        <f t="shared" si="3"/>
        <v>0</v>
      </c>
      <c r="L40" s="40">
        <f t="shared" si="3"/>
        <v>-0.60000000000000142</v>
      </c>
      <c r="M40" s="40">
        <f t="shared" si="3"/>
        <v>-9.9999999999997868E-2</v>
      </c>
      <c r="N40" s="40">
        <f t="shared" si="3"/>
        <v>0</v>
      </c>
      <c r="O40" s="40">
        <f t="shared" si="3"/>
        <v>0.89999999999999858</v>
      </c>
      <c r="P40" s="40">
        <f t="shared" si="3"/>
        <v>0.60000000000000142</v>
      </c>
      <c r="Q40" s="40">
        <f t="shared" si="3"/>
        <v>-0.30000000000000071</v>
      </c>
      <c r="R40" s="40" t="e" vm="1">
        <f t="shared" si="3"/>
        <v>#VALUE!</v>
      </c>
      <c r="S40" s="40">
        <f t="shared" si="3"/>
        <v>0.5</v>
      </c>
      <c r="T40" s="40">
        <f t="shared" si="3"/>
        <v>0.39999999999999858</v>
      </c>
      <c r="U40" s="40">
        <f t="shared" si="3"/>
        <v>0.70000000000000284</v>
      </c>
      <c r="V40" s="40">
        <f t="shared" si="3"/>
        <v>-0.69999999999999929</v>
      </c>
      <c r="W40" s="40">
        <f t="shared" si="3"/>
        <v>0.80000000000000071</v>
      </c>
      <c r="X40" s="40">
        <f t="shared" si="3"/>
        <v>0.39999999999999858</v>
      </c>
      <c r="Y40" s="40">
        <f t="shared" si="3"/>
        <v>-0.30000000000000071</v>
      </c>
      <c r="Z40" s="40">
        <f t="shared" si="3"/>
        <v>0.39999999999999858</v>
      </c>
      <c r="AA40" s="40">
        <f t="shared" si="3"/>
        <v>0.5</v>
      </c>
      <c r="AB40" s="40">
        <f t="shared" si="3"/>
        <v>0.79999999999999716</v>
      </c>
      <c r="AC40" s="40">
        <f t="shared" si="3"/>
        <v>1.8000000000000007</v>
      </c>
      <c r="AD40" s="40">
        <f t="shared" si="3"/>
        <v>1</v>
      </c>
      <c r="AE40" s="40">
        <f t="shared" si="3"/>
        <v>0.69999999999999929</v>
      </c>
      <c r="AF40" s="40">
        <f t="shared" si="3"/>
        <v>9.9999999999997868E-2</v>
      </c>
      <c r="AG40" s="40">
        <f t="shared" si="3"/>
        <v>-0.60000000000000142</v>
      </c>
      <c r="AH40" s="40">
        <f t="shared" si="3"/>
        <v>0.19999999999999929</v>
      </c>
      <c r="AI40" s="40">
        <f t="shared" si="3"/>
        <v>1.3000000000000007</v>
      </c>
      <c r="AJ40" s="40">
        <f t="shared" si="3"/>
        <v>1.0999999999999979</v>
      </c>
      <c r="AK40" s="40">
        <f t="shared" si="3"/>
        <v>0.60000000000000142</v>
      </c>
      <c r="AL40" s="40">
        <f t="shared" si="3"/>
        <v>0</v>
      </c>
      <c r="AM40" s="40">
        <f t="shared" si="3"/>
        <v>-1.5</v>
      </c>
      <c r="AN40" s="40">
        <f t="shared" si="3"/>
        <v>0.5</v>
      </c>
      <c r="AO40" s="40">
        <f t="shared" si="3"/>
        <v>0.30000000000000071</v>
      </c>
      <c r="AP40" s="40">
        <f t="shared" si="3"/>
        <v>0.90000000000000213</v>
      </c>
      <c r="AQ40" s="40">
        <f t="shared" si="3"/>
        <v>0</v>
      </c>
      <c r="AR40" s="40">
        <f t="shared" si="3"/>
        <v>0.39999999999999858</v>
      </c>
      <c r="AS40" s="40">
        <f t="shared" si="3"/>
        <v>0.69999999999999929</v>
      </c>
      <c r="AT40" s="40">
        <f t="shared" si="3"/>
        <v>-0.10000000000000142</v>
      </c>
      <c r="AU40" s="40">
        <f t="shared" si="3"/>
        <v>1.3000000000000007</v>
      </c>
      <c r="AV40" s="40">
        <f t="shared" si="3"/>
        <v>1.2999999999999972</v>
      </c>
      <c r="AW40" s="40">
        <f t="shared" si="3"/>
        <v>0.60000000000000142</v>
      </c>
      <c r="AX40" s="40">
        <f t="shared" si="3"/>
        <v>0.90000000000000213</v>
      </c>
      <c r="AY40" s="40">
        <f t="shared" si="3"/>
        <v>0.19999999999999929</v>
      </c>
      <c r="AZ40" s="40" t="e" vm="1">
        <f t="shared" si="3"/>
        <v>#VALUE!</v>
      </c>
      <c r="BA40" s="40">
        <f t="shared" si="3"/>
        <v>0.5</v>
      </c>
      <c r="BB40" s="40">
        <f t="shared" si="3"/>
        <v>0.70000000000000284</v>
      </c>
      <c r="BC40" s="40">
        <f t="shared" si="3"/>
        <v>1</v>
      </c>
      <c r="BD40" s="40">
        <f t="shared" si="3"/>
        <v>1.5</v>
      </c>
      <c r="BE40" s="40">
        <f t="shared" si="3"/>
        <v>0.19999999999999929</v>
      </c>
      <c r="BF40" s="40">
        <f t="shared" si="3"/>
        <v>-0.5</v>
      </c>
      <c r="BG40" s="40">
        <f t="shared" si="3"/>
        <v>0.5</v>
      </c>
    </row>
    <row r="41" spans="1:59">
      <c r="A41" s="50">
        <f>A20-A16</f>
        <v>9</v>
      </c>
      <c r="B41" s="40">
        <f>B20-B16</f>
        <v>0.30000000000000071</v>
      </c>
      <c r="C41" s="40">
        <f>C20-C16</f>
        <v>-0.80000000000000071</v>
      </c>
      <c r="D41" s="40">
        <f t="shared" ref="D41:BG41" si="4">D20-D16</f>
        <v>0.39999999999999858</v>
      </c>
      <c r="E41" s="40">
        <f t="shared" si="4"/>
        <v>0.40000000000000213</v>
      </c>
      <c r="F41" s="40">
        <f t="shared" si="4"/>
        <v>-0.29999999999999716</v>
      </c>
      <c r="G41" s="40">
        <f t="shared" si="4"/>
        <v>-0.30000000000000071</v>
      </c>
      <c r="H41" s="40">
        <f t="shared" si="4"/>
        <v>0</v>
      </c>
      <c r="I41" s="40">
        <f t="shared" si="4"/>
        <v>0.39999999999999858</v>
      </c>
      <c r="J41" s="40">
        <f t="shared" si="4"/>
        <v>1.1000000000000014</v>
      </c>
      <c r="K41" s="40">
        <f t="shared" si="4"/>
        <v>0.19999999999999929</v>
      </c>
      <c r="L41" s="40">
        <f t="shared" si="4"/>
        <v>-0.39999999999999858</v>
      </c>
      <c r="M41" s="40">
        <f t="shared" si="4"/>
        <v>-0.29999999999999716</v>
      </c>
      <c r="N41" s="40">
        <f t="shared" si="4"/>
        <v>0.40000000000000213</v>
      </c>
      <c r="O41" s="40">
        <f t="shared" si="4"/>
        <v>0.89999999999999858</v>
      </c>
      <c r="P41" s="40">
        <f t="shared" si="4"/>
        <v>0.89999999999999858</v>
      </c>
      <c r="Q41" s="40">
        <f t="shared" si="4"/>
        <v>0</v>
      </c>
      <c r="R41" s="40" t="e" vm="1">
        <f t="shared" si="4"/>
        <v>#VALUE!</v>
      </c>
      <c r="S41" s="40">
        <f t="shared" si="4"/>
        <v>0.5</v>
      </c>
      <c r="T41" s="40">
        <f t="shared" si="4"/>
        <v>0.79999999999999716</v>
      </c>
      <c r="U41" s="40">
        <f t="shared" si="4"/>
        <v>0.70000000000000284</v>
      </c>
      <c r="V41" s="40">
        <f t="shared" si="4"/>
        <v>-0.5</v>
      </c>
      <c r="W41" s="40">
        <f t="shared" si="4"/>
        <v>1</v>
      </c>
      <c r="X41" s="40">
        <f t="shared" si="4"/>
        <v>0.30000000000000071</v>
      </c>
      <c r="Y41" s="40">
        <f t="shared" si="4"/>
        <v>-0.40000000000000213</v>
      </c>
      <c r="Z41" s="40">
        <f t="shared" si="4"/>
        <v>0</v>
      </c>
      <c r="AA41" s="40">
        <f t="shared" si="4"/>
        <v>0.90000000000000213</v>
      </c>
      <c r="AB41" s="40">
        <f t="shared" si="4"/>
        <v>1.0999999999999979</v>
      </c>
      <c r="AC41" s="40">
        <f t="shared" si="4"/>
        <v>1.9000000000000021</v>
      </c>
      <c r="AD41" s="40">
        <f t="shared" si="4"/>
        <v>1.2999999999999972</v>
      </c>
      <c r="AE41" s="40">
        <f t="shared" si="4"/>
        <v>0.60000000000000142</v>
      </c>
      <c r="AF41" s="40">
        <f t="shared" si="4"/>
        <v>-0.19999999999999929</v>
      </c>
      <c r="AG41" s="40">
        <f t="shared" si="4"/>
        <v>0.60000000000000142</v>
      </c>
      <c r="AH41" s="40">
        <f t="shared" si="4"/>
        <v>0.30000000000000071</v>
      </c>
      <c r="AI41" s="40">
        <f t="shared" si="4"/>
        <v>1.3999999999999986</v>
      </c>
      <c r="AJ41" s="40">
        <f t="shared" si="4"/>
        <v>1.5</v>
      </c>
      <c r="AK41" s="40">
        <f t="shared" si="4"/>
        <v>1</v>
      </c>
      <c r="AL41" s="40">
        <f t="shared" si="4"/>
        <v>-0.19999999999999929</v>
      </c>
      <c r="AM41" s="40">
        <f t="shared" si="4"/>
        <v>-1.5999999999999979</v>
      </c>
      <c r="AN41" s="40">
        <f t="shared" si="4"/>
        <v>0.39999999999999858</v>
      </c>
      <c r="AO41" s="40">
        <f t="shared" si="4"/>
        <v>0.40000000000000213</v>
      </c>
      <c r="AP41" s="40">
        <f t="shared" si="4"/>
        <v>1.3000000000000007</v>
      </c>
      <c r="AQ41" s="40">
        <f t="shared" si="4"/>
        <v>0.39999999999999858</v>
      </c>
      <c r="AR41" s="40">
        <f t="shared" si="4"/>
        <v>0.80000000000000071</v>
      </c>
      <c r="AS41" s="40">
        <f t="shared" si="4"/>
        <v>0.80000000000000071</v>
      </c>
      <c r="AT41" s="40">
        <f t="shared" si="4"/>
        <v>-0.10000000000000142</v>
      </c>
      <c r="AU41" s="40">
        <f t="shared" si="4"/>
        <v>1.1000000000000014</v>
      </c>
      <c r="AV41" s="40">
        <f t="shared" si="4"/>
        <v>1.0999999999999979</v>
      </c>
      <c r="AW41" s="40">
        <f t="shared" si="4"/>
        <v>0.5</v>
      </c>
      <c r="AX41" s="40">
        <f t="shared" si="4"/>
        <v>0.5</v>
      </c>
      <c r="AY41" s="40">
        <f t="shared" si="4"/>
        <v>-0.30000000000000071</v>
      </c>
      <c r="AZ41" s="40" t="e" vm="1">
        <f t="shared" si="4"/>
        <v>#VALUE!</v>
      </c>
      <c r="BA41" s="40">
        <f t="shared" si="4"/>
        <v>0.19999999999999929</v>
      </c>
      <c r="BB41" s="40">
        <f t="shared" si="4"/>
        <v>0.80000000000000071</v>
      </c>
      <c r="BC41" s="40">
        <f t="shared" si="4"/>
        <v>1.2000000000000028</v>
      </c>
      <c r="BD41" s="40">
        <f t="shared" si="4"/>
        <v>1.8999999999999986</v>
      </c>
      <c r="BE41" s="40">
        <f t="shared" si="4"/>
        <v>-0.10000000000000142</v>
      </c>
      <c r="BF41" s="40">
        <f t="shared" si="4"/>
        <v>-0.5</v>
      </c>
      <c r="BG41" s="40">
        <f t="shared" si="4"/>
        <v>0.19999999999999929</v>
      </c>
    </row>
    <row r="42" spans="1:59">
      <c r="A42" s="50">
        <f>A21-A16</f>
        <v>12</v>
      </c>
      <c r="B42" s="40">
        <f>B21-B16</f>
        <v>1</v>
      </c>
      <c r="C42" s="40">
        <f>C21-C16</f>
        <v>-0.69999999999999929</v>
      </c>
      <c r="D42" s="40">
        <f t="shared" ref="D42:BG42" si="5">D21-D16</f>
        <v>0.60000000000000142</v>
      </c>
      <c r="E42" s="40">
        <f t="shared" si="5"/>
        <v>1</v>
      </c>
      <c r="F42" s="40">
        <f t="shared" si="5"/>
        <v>-0.59999999999999787</v>
      </c>
      <c r="G42" s="40">
        <f t="shared" si="5"/>
        <v>9.9999999999997868E-2</v>
      </c>
      <c r="H42" s="40">
        <f t="shared" si="5"/>
        <v>0.30000000000000071</v>
      </c>
      <c r="I42" s="40">
        <f t="shared" si="5"/>
        <v>0.5</v>
      </c>
      <c r="J42" s="40">
        <f t="shared" si="5"/>
        <v>1</v>
      </c>
      <c r="K42" s="40">
        <f t="shared" si="5"/>
        <v>0.60000000000000142</v>
      </c>
      <c r="L42" s="40">
        <f t="shared" si="5"/>
        <v>-0.60000000000000142</v>
      </c>
      <c r="M42" s="40">
        <f t="shared" si="5"/>
        <v>-0.29999999999999716</v>
      </c>
      <c r="N42" s="40">
        <f t="shared" si="5"/>
        <v>0.80000000000000071</v>
      </c>
      <c r="O42" s="40">
        <f t="shared" si="5"/>
        <v>1.1000000000000014</v>
      </c>
      <c r="P42" s="40">
        <f t="shared" si="5"/>
        <v>1.1999999999999993</v>
      </c>
      <c r="Q42" s="40">
        <f t="shared" si="5"/>
        <v>0.10000000000000142</v>
      </c>
      <c r="R42" s="40" t="e" vm="1">
        <f t="shared" si="5"/>
        <v>#VALUE!</v>
      </c>
      <c r="S42" s="40">
        <f t="shared" si="5"/>
        <v>0.90000000000000213</v>
      </c>
      <c r="T42" s="40">
        <f t="shared" si="5"/>
        <v>1.2999999999999972</v>
      </c>
      <c r="U42" s="40">
        <f t="shared" si="5"/>
        <v>1.2000000000000028</v>
      </c>
      <c r="V42" s="40">
        <f t="shared" si="5"/>
        <v>0.40000000000000213</v>
      </c>
      <c r="W42" s="40">
        <f t="shared" si="5"/>
        <v>0.89999999999999858</v>
      </c>
      <c r="X42" s="40">
        <f t="shared" si="5"/>
        <v>0.19999999999999929</v>
      </c>
      <c r="Y42" s="40">
        <f t="shared" si="5"/>
        <v>0</v>
      </c>
      <c r="Z42" s="40">
        <f t="shared" si="5"/>
        <v>0.69999999999999929</v>
      </c>
      <c r="AA42" s="40">
        <f t="shared" si="5"/>
        <v>1.3000000000000007</v>
      </c>
      <c r="AB42" s="40">
        <f t="shared" si="5"/>
        <v>0.59999999999999787</v>
      </c>
      <c r="AC42" s="40">
        <f t="shared" si="5"/>
        <v>2.1999999999999993</v>
      </c>
      <c r="AD42" s="40">
        <f t="shared" si="5"/>
        <v>1.5</v>
      </c>
      <c r="AE42" s="40">
        <f t="shared" si="5"/>
        <v>1.6999999999999993</v>
      </c>
      <c r="AF42" s="40">
        <f t="shared" si="5"/>
        <v>0.59999999999999787</v>
      </c>
      <c r="AG42" s="40">
        <f t="shared" si="5"/>
        <v>1</v>
      </c>
      <c r="AH42" s="40">
        <f t="shared" si="5"/>
        <v>0</v>
      </c>
      <c r="AI42" s="40">
        <f t="shared" si="5"/>
        <v>1.6999999999999993</v>
      </c>
      <c r="AJ42" s="40">
        <f t="shared" si="5"/>
        <v>1.6999999999999993</v>
      </c>
      <c r="AK42" s="40">
        <f t="shared" si="5"/>
        <v>1.3999999999999986</v>
      </c>
      <c r="AL42" s="40">
        <f t="shared" si="5"/>
        <v>0</v>
      </c>
      <c r="AM42" s="40">
        <f t="shared" si="5"/>
        <v>-1.3999999999999986</v>
      </c>
      <c r="AN42" s="40">
        <f t="shared" si="5"/>
        <v>0.80000000000000071</v>
      </c>
      <c r="AO42" s="40">
        <f t="shared" si="5"/>
        <v>0.60000000000000142</v>
      </c>
      <c r="AP42" s="40">
        <f t="shared" si="5"/>
        <v>1.6000000000000014</v>
      </c>
      <c r="AQ42" s="40">
        <f t="shared" si="5"/>
        <v>0.39999999999999858</v>
      </c>
      <c r="AR42" s="40">
        <f t="shared" si="5"/>
        <v>0.59999999999999787</v>
      </c>
      <c r="AS42" s="40">
        <f t="shared" si="5"/>
        <v>0.80000000000000071</v>
      </c>
      <c r="AT42" s="40">
        <f t="shared" si="5"/>
        <v>-0.10000000000000142</v>
      </c>
      <c r="AU42" s="40">
        <f t="shared" si="5"/>
        <v>0.80000000000000071</v>
      </c>
      <c r="AV42" s="40">
        <f t="shared" si="5"/>
        <v>1.3999999999999986</v>
      </c>
      <c r="AW42" s="40">
        <f t="shared" si="5"/>
        <v>0.69999999999999929</v>
      </c>
      <c r="AX42" s="40">
        <f t="shared" si="5"/>
        <v>1.1000000000000014</v>
      </c>
      <c r="AY42" s="40">
        <f t="shared" si="5"/>
        <v>-9.9999999999997868E-2</v>
      </c>
      <c r="AZ42" s="40" t="e" vm="1">
        <f t="shared" si="5"/>
        <v>#VALUE!</v>
      </c>
      <c r="BA42" s="40">
        <f t="shared" si="5"/>
        <v>0</v>
      </c>
      <c r="BB42" s="40">
        <f t="shared" si="5"/>
        <v>0.90000000000000213</v>
      </c>
      <c r="BC42" s="40">
        <f t="shared" si="5"/>
        <v>1.5</v>
      </c>
      <c r="BD42" s="40">
        <f t="shared" si="5"/>
        <v>2</v>
      </c>
      <c r="BE42" s="40">
        <f t="shared" si="5"/>
        <v>0.5</v>
      </c>
      <c r="BF42" s="40">
        <f t="shared" si="5"/>
        <v>-0.19999999999999929</v>
      </c>
      <c r="BG42" s="40">
        <f t="shared" si="5"/>
        <v>0.5</v>
      </c>
    </row>
    <row r="43" spans="1:59">
      <c r="A43" s="50">
        <f>A22-A16</f>
        <v>14</v>
      </c>
      <c r="B43" s="40">
        <f>B22-B16</f>
        <v>1.5</v>
      </c>
      <c r="C43" s="40">
        <f>C22-C16</f>
        <v>0.10000000000000142</v>
      </c>
      <c r="D43" s="40">
        <f t="shared" ref="D43:BG43" si="6">D22-D16</f>
        <v>1.1000000000000014</v>
      </c>
      <c r="E43" s="40">
        <f t="shared" si="6"/>
        <v>1.1999999999999993</v>
      </c>
      <c r="F43" s="40">
        <f t="shared" si="6"/>
        <v>-2.0999999999999979</v>
      </c>
      <c r="G43" s="40">
        <f t="shared" si="6"/>
        <v>0.5</v>
      </c>
      <c r="H43" s="40">
        <f t="shared" si="6"/>
        <v>1.1999999999999993</v>
      </c>
      <c r="I43" s="40">
        <f t="shared" si="6"/>
        <v>0.89999999999999858</v>
      </c>
      <c r="J43" s="40">
        <f t="shared" si="6"/>
        <v>1.6000000000000014</v>
      </c>
      <c r="K43" s="40">
        <f t="shared" si="6"/>
        <v>1.1000000000000014</v>
      </c>
      <c r="L43" s="40">
        <f t="shared" si="6"/>
        <v>-0.19999999999999929</v>
      </c>
      <c r="M43" s="40">
        <f t="shared" si="6"/>
        <v>0.10000000000000142</v>
      </c>
      <c r="N43" s="40">
        <f t="shared" si="6"/>
        <v>1.6000000000000014</v>
      </c>
      <c r="O43" s="40">
        <f t="shared" si="6"/>
        <v>1.6999999999999993</v>
      </c>
      <c r="P43" s="40">
        <f t="shared" si="6"/>
        <v>1.8000000000000007</v>
      </c>
      <c r="Q43" s="40">
        <f t="shared" si="6"/>
        <v>0.90000000000000213</v>
      </c>
      <c r="R43" s="40" t="e" vm="1">
        <f t="shared" si="6"/>
        <v>#VALUE!</v>
      </c>
      <c r="S43" s="40">
        <f t="shared" si="6"/>
        <v>1.3000000000000007</v>
      </c>
      <c r="T43" s="40">
        <f t="shared" si="6"/>
        <v>1.8999999999999986</v>
      </c>
      <c r="U43" s="40">
        <f t="shared" si="6"/>
        <v>1.5</v>
      </c>
      <c r="V43" s="40">
        <f t="shared" si="6"/>
        <v>1</v>
      </c>
      <c r="W43" s="40">
        <f t="shared" si="6"/>
        <v>1.5999999999999979</v>
      </c>
      <c r="X43" s="40">
        <f t="shared" si="6"/>
        <v>1</v>
      </c>
      <c r="Y43" s="40">
        <f t="shared" si="6"/>
        <v>0.29999999999999716</v>
      </c>
      <c r="Z43" s="40">
        <f t="shared" si="6"/>
        <v>1</v>
      </c>
      <c r="AA43" s="40">
        <f t="shared" si="6"/>
        <v>1.6000000000000014</v>
      </c>
      <c r="AB43" s="40">
        <f t="shared" si="6"/>
        <v>2.1999999999999993</v>
      </c>
      <c r="AC43" s="40">
        <f t="shared" si="6"/>
        <v>2.8000000000000007</v>
      </c>
      <c r="AD43" s="40">
        <f t="shared" si="6"/>
        <v>1.8999999999999986</v>
      </c>
      <c r="AE43" s="40">
        <f t="shared" si="6"/>
        <v>2.3000000000000007</v>
      </c>
      <c r="AF43" s="40">
        <f t="shared" si="6"/>
        <v>1.3999999999999986</v>
      </c>
      <c r="AG43" s="40">
        <f t="shared" si="6"/>
        <v>1.8000000000000007</v>
      </c>
      <c r="AH43" s="40">
        <f t="shared" si="6"/>
        <v>1.1999999999999993</v>
      </c>
      <c r="AI43" s="40">
        <f t="shared" si="6"/>
        <v>2.6000000000000014</v>
      </c>
      <c r="AJ43" s="40">
        <f t="shared" si="6"/>
        <v>2.8000000000000007</v>
      </c>
      <c r="AK43" s="40">
        <f t="shared" si="6"/>
        <v>2.1999999999999993</v>
      </c>
      <c r="AL43" s="40">
        <f t="shared" si="6"/>
        <v>0.5</v>
      </c>
      <c r="AM43" s="40">
        <f t="shared" si="6"/>
        <v>-1</v>
      </c>
      <c r="AN43" s="40">
        <f t="shared" si="6"/>
        <v>1.1999999999999993</v>
      </c>
      <c r="AO43" s="40">
        <f t="shared" si="6"/>
        <v>1.6999999999999993</v>
      </c>
      <c r="AP43" s="40">
        <f t="shared" si="6"/>
        <v>2.2000000000000028</v>
      </c>
      <c r="AQ43" s="40">
        <f t="shared" si="6"/>
        <v>0.59999999999999787</v>
      </c>
      <c r="AR43" s="40">
        <f t="shared" si="6"/>
        <v>2.3999999999999986</v>
      </c>
      <c r="AS43" s="40">
        <f t="shared" si="6"/>
        <v>1.1000000000000014</v>
      </c>
      <c r="AT43" s="40">
        <f t="shared" si="6"/>
        <v>0.39999999999999858</v>
      </c>
      <c r="AU43" s="40">
        <f t="shared" si="6"/>
        <v>2</v>
      </c>
      <c r="AV43" s="40">
        <f t="shared" si="6"/>
        <v>2.1999999999999993</v>
      </c>
      <c r="AW43" s="40">
        <f t="shared" si="6"/>
        <v>1.3000000000000007</v>
      </c>
      <c r="AX43" s="40">
        <f t="shared" si="6"/>
        <v>1.3000000000000007</v>
      </c>
      <c r="AY43" s="40">
        <f t="shared" si="6"/>
        <v>0.5</v>
      </c>
      <c r="AZ43" s="40" t="e" vm="1">
        <f t="shared" si="6"/>
        <v>#VALUE!</v>
      </c>
      <c r="BA43" s="40">
        <f t="shared" si="6"/>
        <v>1.0999999999999979</v>
      </c>
      <c r="BB43" s="40">
        <f t="shared" si="6"/>
        <v>2.2000000000000028</v>
      </c>
      <c r="BC43" s="40">
        <f t="shared" si="6"/>
        <v>2</v>
      </c>
      <c r="BD43" s="40">
        <f t="shared" si="6"/>
        <v>2.1999999999999993</v>
      </c>
      <c r="BE43" s="40">
        <f t="shared" si="6"/>
        <v>0.79999999999999716</v>
      </c>
      <c r="BF43" s="40">
        <f t="shared" si="6"/>
        <v>0.40000000000000213</v>
      </c>
      <c r="BG43" s="40">
        <f t="shared" si="6"/>
        <v>1</v>
      </c>
    </row>
    <row r="44" spans="1:59">
      <c r="A44" s="50">
        <f>A23-A16</f>
        <v>16</v>
      </c>
      <c r="B44" s="40">
        <f>B23-B16</f>
        <v>1.3000000000000007</v>
      </c>
      <c r="C44" s="40">
        <f>C23-C16</f>
        <v>0.40000000000000213</v>
      </c>
      <c r="D44" s="40">
        <f t="shared" ref="D44:BG44" si="7">D23-D16</f>
        <v>-0.10000000000000142</v>
      </c>
      <c r="E44" s="40">
        <f t="shared" si="7"/>
        <v>1</v>
      </c>
      <c r="F44" s="40">
        <f t="shared" si="7"/>
        <v>-2.6999999999999993</v>
      </c>
      <c r="G44" s="40">
        <f t="shared" si="7"/>
        <v>0.5</v>
      </c>
      <c r="H44" s="40">
        <f t="shared" si="7"/>
        <v>1</v>
      </c>
      <c r="I44" s="40">
        <f t="shared" si="7"/>
        <v>0.89999999999999858</v>
      </c>
      <c r="J44" s="40">
        <f t="shared" si="7"/>
        <v>1.6000000000000014</v>
      </c>
      <c r="K44" s="40">
        <f t="shared" si="7"/>
        <v>1.1999999999999993</v>
      </c>
      <c r="L44" s="40">
        <f t="shared" si="7"/>
        <v>-0.39999999999999858</v>
      </c>
      <c r="M44" s="40">
        <f t="shared" si="7"/>
        <v>-0.39999999999999858</v>
      </c>
      <c r="N44" s="40">
        <f t="shared" si="7"/>
        <v>1.5</v>
      </c>
      <c r="O44" s="40">
        <f t="shared" si="7"/>
        <v>1.6999999999999993</v>
      </c>
      <c r="P44" s="40">
        <f t="shared" si="7"/>
        <v>1.8999999999999986</v>
      </c>
      <c r="Q44" s="40">
        <f t="shared" si="7"/>
        <v>0.80000000000000071</v>
      </c>
      <c r="R44" s="40" t="e" vm="1">
        <f t="shared" si="7"/>
        <v>#VALUE!</v>
      </c>
      <c r="S44" s="40">
        <f t="shared" si="7"/>
        <v>1.5</v>
      </c>
      <c r="T44" s="40">
        <f t="shared" si="7"/>
        <v>2.3999999999999986</v>
      </c>
      <c r="U44" s="40">
        <f t="shared" si="7"/>
        <v>1.5</v>
      </c>
      <c r="V44" s="40">
        <f t="shared" si="7"/>
        <v>1.3000000000000007</v>
      </c>
      <c r="W44" s="40">
        <f t="shared" si="7"/>
        <v>1.5</v>
      </c>
      <c r="X44" s="40">
        <f t="shared" si="7"/>
        <v>1</v>
      </c>
      <c r="Y44" s="40">
        <f t="shared" si="7"/>
        <v>0.5</v>
      </c>
      <c r="Z44" s="40">
        <f t="shared" si="7"/>
        <v>1.5</v>
      </c>
      <c r="AA44" s="40">
        <f t="shared" si="7"/>
        <v>1.7000000000000028</v>
      </c>
      <c r="AB44" s="40">
        <f t="shared" si="7"/>
        <v>2</v>
      </c>
      <c r="AC44" s="40">
        <f t="shared" si="7"/>
        <v>3.1000000000000014</v>
      </c>
      <c r="AD44" s="40">
        <f t="shared" si="7"/>
        <v>1.5999999999999979</v>
      </c>
      <c r="AE44" s="40">
        <f t="shared" si="7"/>
        <v>2.5</v>
      </c>
      <c r="AF44" s="40">
        <f t="shared" si="7"/>
        <v>1.3999999999999986</v>
      </c>
      <c r="AG44" s="40">
        <f t="shared" si="7"/>
        <v>1.5</v>
      </c>
      <c r="AH44" s="40">
        <f t="shared" si="7"/>
        <v>1.5</v>
      </c>
      <c r="AI44" s="40">
        <f t="shared" si="7"/>
        <v>2.6000000000000014</v>
      </c>
      <c r="AJ44" s="40">
        <f t="shared" si="7"/>
        <v>2.6999999999999993</v>
      </c>
      <c r="AK44" s="40">
        <f t="shared" si="7"/>
        <v>2.3000000000000007</v>
      </c>
      <c r="AL44" s="40">
        <f t="shared" si="7"/>
        <v>0.5</v>
      </c>
      <c r="AM44" s="40">
        <f t="shared" si="7"/>
        <v>-0.59999999999999787</v>
      </c>
      <c r="AN44" s="40">
        <f t="shared" si="7"/>
        <v>0.39999999999999858</v>
      </c>
      <c r="AO44" s="40">
        <f t="shared" si="7"/>
        <v>1.1000000000000014</v>
      </c>
      <c r="AP44" s="40">
        <f t="shared" si="7"/>
        <v>1.8000000000000007</v>
      </c>
      <c r="AQ44" s="40">
        <f t="shared" si="7"/>
        <v>0.69999999999999929</v>
      </c>
      <c r="AR44" s="40">
        <f t="shared" si="7"/>
        <v>2.5999999999999979</v>
      </c>
      <c r="AS44" s="40">
        <f t="shared" si="7"/>
        <v>1.1999999999999993</v>
      </c>
      <c r="AT44" s="40">
        <f t="shared" si="7"/>
        <v>0.19999999999999929</v>
      </c>
      <c r="AU44" s="40">
        <f t="shared" si="7"/>
        <v>1.5</v>
      </c>
      <c r="AV44" s="40">
        <f t="shared" si="7"/>
        <v>1.7999999999999972</v>
      </c>
      <c r="AW44" s="40">
        <f t="shared" si="7"/>
        <v>0.89999999999999858</v>
      </c>
      <c r="AX44" s="40">
        <f t="shared" si="7"/>
        <v>1.2000000000000028</v>
      </c>
      <c r="AY44" s="40">
        <f t="shared" si="7"/>
        <v>0.60000000000000142</v>
      </c>
      <c r="AZ44" s="40" t="e" vm="1">
        <f t="shared" si="7"/>
        <v>#VALUE!</v>
      </c>
      <c r="BA44" s="40">
        <f t="shared" si="7"/>
        <v>1.0999999999999979</v>
      </c>
      <c r="BB44" s="40">
        <f t="shared" si="7"/>
        <v>1.3000000000000007</v>
      </c>
      <c r="BC44" s="40">
        <f t="shared" si="7"/>
        <v>1.9000000000000021</v>
      </c>
      <c r="BD44" s="40">
        <f t="shared" si="7"/>
        <v>2.5</v>
      </c>
      <c r="BE44" s="40">
        <f t="shared" si="7"/>
        <v>0.19999999999999929</v>
      </c>
      <c r="BF44" s="40">
        <f t="shared" si="7"/>
        <v>0.19999999999999929</v>
      </c>
      <c r="BG44" s="40">
        <f t="shared" si="7"/>
        <v>1.1999999999999993</v>
      </c>
    </row>
    <row r="45" spans="1:59">
      <c r="A45" s="50">
        <f>A24-A16</f>
        <v>19</v>
      </c>
      <c r="B45" s="40">
        <f>B24-B16</f>
        <v>1.6000000000000014</v>
      </c>
      <c r="C45" s="40">
        <f>C24-C16</f>
        <v>0.30000000000000071</v>
      </c>
      <c r="D45" s="40">
        <f t="shared" ref="D45:BG45" si="8">D24-D16</f>
        <v>-1.5</v>
      </c>
      <c r="E45" s="40">
        <f t="shared" si="8"/>
        <v>1.5</v>
      </c>
      <c r="F45" s="40">
        <f t="shared" si="8"/>
        <v>-4.6999999999999993</v>
      </c>
      <c r="G45" s="40">
        <f t="shared" si="8"/>
        <v>0.79999999999999716</v>
      </c>
      <c r="H45" s="40">
        <f t="shared" si="8"/>
        <v>2.5999999999999979</v>
      </c>
      <c r="I45" s="40">
        <f t="shared" si="8"/>
        <v>2</v>
      </c>
      <c r="J45" s="40">
        <f t="shared" si="8"/>
        <v>2.9000000000000021</v>
      </c>
      <c r="K45" s="40">
        <f t="shared" si="8"/>
        <v>1.6999999999999993</v>
      </c>
      <c r="L45" s="40">
        <f t="shared" si="8"/>
        <v>-0.19999999999999929</v>
      </c>
      <c r="M45" s="40">
        <f t="shared" si="8"/>
        <v>0.10000000000000142</v>
      </c>
      <c r="N45" s="40">
        <f t="shared" si="8"/>
        <v>1.2000000000000028</v>
      </c>
      <c r="O45" s="40">
        <f t="shared" si="8"/>
        <v>2</v>
      </c>
      <c r="P45" s="40">
        <f t="shared" si="8"/>
        <v>2.5</v>
      </c>
      <c r="Q45" s="40">
        <f t="shared" si="8"/>
        <v>1.5</v>
      </c>
      <c r="R45" s="40" t="e" vm="1">
        <f t="shared" si="8"/>
        <v>#VALUE!</v>
      </c>
      <c r="S45" s="40">
        <f t="shared" si="8"/>
        <v>1.9000000000000021</v>
      </c>
      <c r="T45" s="40">
        <f t="shared" si="8"/>
        <v>3.1999999999999993</v>
      </c>
      <c r="U45" s="40">
        <f t="shared" si="8"/>
        <v>2.1000000000000014</v>
      </c>
      <c r="V45" s="40">
        <f t="shared" si="8"/>
        <v>2</v>
      </c>
      <c r="W45" s="40">
        <f t="shared" si="8"/>
        <v>2.8999999999999986</v>
      </c>
      <c r="X45" s="40">
        <f t="shared" si="8"/>
        <v>1.6000000000000014</v>
      </c>
      <c r="Y45" s="40">
        <f t="shared" si="8"/>
        <v>1.1999999999999993</v>
      </c>
      <c r="Z45" s="40">
        <f t="shared" si="8"/>
        <v>2.1000000000000014</v>
      </c>
      <c r="AA45" s="40">
        <f t="shared" si="8"/>
        <v>2.2000000000000028</v>
      </c>
      <c r="AB45" s="40">
        <f t="shared" si="8"/>
        <v>2.5999999999999979</v>
      </c>
      <c r="AC45" s="40">
        <f t="shared" si="8"/>
        <v>3.6000000000000014</v>
      </c>
      <c r="AD45" s="40">
        <f t="shared" si="8"/>
        <v>2</v>
      </c>
      <c r="AE45" s="40">
        <f t="shared" si="8"/>
        <v>3</v>
      </c>
      <c r="AF45" s="40">
        <f t="shared" si="8"/>
        <v>1.1999999999999993</v>
      </c>
      <c r="AG45" s="40">
        <f t="shared" si="8"/>
        <v>1.8000000000000007</v>
      </c>
      <c r="AH45" s="40">
        <f t="shared" si="8"/>
        <v>2.1999999999999993</v>
      </c>
      <c r="AI45" s="40">
        <f t="shared" si="8"/>
        <v>3.1999999999999993</v>
      </c>
      <c r="AJ45" s="40">
        <f t="shared" si="8"/>
        <v>3.3000000000000007</v>
      </c>
      <c r="AK45" s="40">
        <f t="shared" si="8"/>
        <v>2.6000000000000014</v>
      </c>
      <c r="AL45" s="40">
        <f t="shared" si="8"/>
        <v>1.3000000000000007</v>
      </c>
      <c r="AM45" s="40">
        <f t="shared" si="8"/>
        <v>0.20000000000000284</v>
      </c>
      <c r="AN45" s="40">
        <f t="shared" si="8"/>
        <v>-2.1000000000000014</v>
      </c>
      <c r="AO45" s="40">
        <f t="shared" si="8"/>
        <v>1.1999999999999993</v>
      </c>
      <c r="AP45" s="40">
        <f t="shared" si="8"/>
        <v>2</v>
      </c>
      <c r="AQ45" s="40">
        <f t="shared" si="8"/>
        <v>1.5</v>
      </c>
      <c r="AR45" s="40">
        <f t="shared" si="8"/>
        <v>3.3000000000000007</v>
      </c>
      <c r="AS45" s="40">
        <f t="shared" si="8"/>
        <v>1.6999999999999993</v>
      </c>
      <c r="AT45" s="40">
        <f t="shared" si="8"/>
        <v>0.69999999999999929</v>
      </c>
      <c r="AU45" s="40">
        <f t="shared" si="8"/>
        <v>2.1000000000000014</v>
      </c>
      <c r="AV45" s="40">
        <f t="shared" si="8"/>
        <v>2.2999999999999972</v>
      </c>
      <c r="AW45" s="40">
        <f t="shared" si="8"/>
        <v>1.3000000000000007</v>
      </c>
      <c r="AX45" s="40">
        <f t="shared" si="8"/>
        <v>1.8000000000000007</v>
      </c>
      <c r="AY45" s="40">
        <f t="shared" si="8"/>
        <v>1.3000000000000007</v>
      </c>
      <c r="AZ45" s="40" t="e" vm="1">
        <f t="shared" si="8"/>
        <v>#VALUE!</v>
      </c>
      <c r="BA45" s="40">
        <f t="shared" si="8"/>
        <v>1.6999999999999993</v>
      </c>
      <c r="BB45" s="40">
        <f t="shared" si="8"/>
        <v>1.7000000000000028</v>
      </c>
      <c r="BC45" s="40">
        <f t="shared" si="8"/>
        <v>2.4000000000000021</v>
      </c>
      <c r="BD45" s="40">
        <f t="shared" si="8"/>
        <v>3</v>
      </c>
      <c r="BE45" s="40">
        <f t="shared" si="8"/>
        <v>1.0999999999999979</v>
      </c>
      <c r="BF45" s="40">
        <f t="shared" si="8"/>
        <v>0.5</v>
      </c>
      <c r="BG45" s="40">
        <f t="shared" si="8"/>
        <v>1.8999999999999986</v>
      </c>
    </row>
    <row r="46" spans="1:59">
      <c r="A46" s="50">
        <f>A25-A16</f>
        <v>20</v>
      </c>
      <c r="B46" s="40">
        <f>B25-B16</f>
        <v>1.5</v>
      </c>
      <c r="C46" s="40" t="e" vm="1">
        <f>C25-C16</f>
        <v>#VALUE!</v>
      </c>
      <c r="D46" s="40">
        <f t="shared" ref="D46:BG46" si="9">D25-D16</f>
        <v>-1.3999999999999986</v>
      </c>
      <c r="E46" s="40">
        <f t="shared" si="9"/>
        <v>1.4000000000000021</v>
      </c>
      <c r="F46" s="40" t="e" vm="1">
        <f t="shared" si="9"/>
        <v>#VALUE!</v>
      </c>
      <c r="G46" s="40">
        <f t="shared" si="9"/>
        <v>0.29999999999999716</v>
      </c>
      <c r="H46" s="40">
        <f t="shared" si="9"/>
        <v>2.0999999999999979</v>
      </c>
      <c r="I46" s="40">
        <f t="shared" si="9"/>
        <v>1.6999999999999993</v>
      </c>
      <c r="J46" s="40">
        <f t="shared" si="9"/>
        <v>1.6000000000000014</v>
      </c>
      <c r="K46" s="40">
        <f t="shared" si="9"/>
        <v>1.4000000000000021</v>
      </c>
      <c r="L46" s="40">
        <f t="shared" si="9"/>
        <v>-0.39999999999999858</v>
      </c>
      <c r="M46" s="40">
        <f t="shared" si="9"/>
        <v>0.20000000000000284</v>
      </c>
      <c r="N46" s="40">
        <f t="shared" si="9"/>
        <v>0.10000000000000142</v>
      </c>
      <c r="O46" s="40">
        <f t="shared" si="9"/>
        <v>1.1999999999999993</v>
      </c>
      <c r="P46" s="40">
        <f t="shared" si="9"/>
        <v>1.6999999999999993</v>
      </c>
      <c r="Q46" s="40">
        <f t="shared" si="9"/>
        <v>0.69999999999999929</v>
      </c>
      <c r="R46" s="40" t="e" vm="1">
        <f t="shared" si="9"/>
        <v>#VALUE!</v>
      </c>
      <c r="S46" s="40">
        <f t="shared" si="9"/>
        <v>1.8000000000000007</v>
      </c>
      <c r="T46" s="40">
        <f t="shared" si="9"/>
        <v>2.6999999999999993</v>
      </c>
      <c r="U46" s="40">
        <f t="shared" si="9"/>
        <v>0.80000000000000071</v>
      </c>
      <c r="V46" s="40" t="e" vm="1">
        <f t="shared" si="9"/>
        <v>#VALUE!</v>
      </c>
      <c r="W46" s="40">
        <f t="shared" si="9"/>
        <v>1.8000000000000007</v>
      </c>
      <c r="X46" s="40" t="e" vm="1">
        <f t="shared" si="9"/>
        <v>#VALUE!</v>
      </c>
      <c r="Y46" s="40">
        <f t="shared" si="9"/>
        <v>0.59999999999999787</v>
      </c>
      <c r="Z46" s="40">
        <f t="shared" si="9"/>
        <v>1.6000000000000014</v>
      </c>
      <c r="AA46" s="40">
        <f t="shared" si="9"/>
        <v>1.7000000000000028</v>
      </c>
      <c r="AB46" s="40">
        <f t="shared" si="9"/>
        <v>2</v>
      </c>
      <c r="AC46" s="40">
        <f t="shared" si="9"/>
        <v>3.6000000000000014</v>
      </c>
      <c r="AD46" s="40">
        <f t="shared" si="9"/>
        <v>1.0999999999999979</v>
      </c>
      <c r="AE46" s="40">
        <f t="shared" si="9"/>
        <v>2.6000000000000014</v>
      </c>
      <c r="AF46" s="40">
        <f t="shared" si="9"/>
        <v>0</v>
      </c>
      <c r="AG46" s="40">
        <f t="shared" si="9"/>
        <v>1.3999999999999986</v>
      </c>
      <c r="AH46" s="40">
        <f t="shared" si="9"/>
        <v>1.6999999999999993</v>
      </c>
      <c r="AI46" s="40">
        <f t="shared" si="9"/>
        <v>3.1000000000000014</v>
      </c>
      <c r="AJ46" s="40">
        <f t="shared" si="9"/>
        <v>3</v>
      </c>
      <c r="AK46" s="40">
        <f t="shared" si="9"/>
        <v>2.1000000000000014</v>
      </c>
      <c r="AL46" s="40">
        <f t="shared" si="9"/>
        <v>0.5</v>
      </c>
      <c r="AM46" s="40" t="e" vm="1">
        <f t="shared" si="9"/>
        <v>#VALUE!</v>
      </c>
      <c r="AN46" s="40" t="e" vm="2">
        <f t="shared" si="9"/>
        <v>#VALUE!</v>
      </c>
      <c r="AO46" s="40">
        <f t="shared" si="9"/>
        <v>1.1999999999999993</v>
      </c>
      <c r="AP46" s="40">
        <f t="shared" si="9"/>
        <v>1.8000000000000007</v>
      </c>
      <c r="AQ46" s="40">
        <f t="shared" si="9"/>
        <v>0.69999999999999929</v>
      </c>
      <c r="AR46" s="40">
        <f t="shared" si="9"/>
        <v>2.3000000000000007</v>
      </c>
      <c r="AS46" s="40">
        <f t="shared" si="9"/>
        <v>1.3000000000000007</v>
      </c>
      <c r="AT46" s="40">
        <f t="shared" si="9"/>
        <v>0.5</v>
      </c>
      <c r="AU46" s="40">
        <f t="shared" si="9"/>
        <v>2.3999999999999986</v>
      </c>
      <c r="AV46" s="40">
        <f t="shared" si="9"/>
        <v>2</v>
      </c>
      <c r="AW46" s="40">
        <f t="shared" si="9"/>
        <v>0.5</v>
      </c>
      <c r="AX46" s="40">
        <f t="shared" si="9"/>
        <v>1.4000000000000021</v>
      </c>
      <c r="AY46" s="40">
        <f t="shared" si="9"/>
        <v>1</v>
      </c>
      <c r="AZ46" s="40" t="e" vm="1">
        <f t="shared" si="9"/>
        <v>#VALUE!</v>
      </c>
      <c r="BA46" s="40">
        <f t="shared" si="9"/>
        <v>1.5</v>
      </c>
      <c r="BB46" s="40">
        <f t="shared" si="9"/>
        <v>1.6000000000000014</v>
      </c>
      <c r="BC46" s="40">
        <f t="shared" si="9"/>
        <v>2</v>
      </c>
      <c r="BD46" s="40">
        <f t="shared" si="9"/>
        <v>2.8999999999999986</v>
      </c>
      <c r="BE46" s="40">
        <f t="shared" si="9"/>
        <v>0.89999999999999858</v>
      </c>
      <c r="BF46" s="40">
        <f t="shared" si="9"/>
        <v>-0.30000000000000071</v>
      </c>
      <c r="BG46" s="40">
        <f t="shared" si="9"/>
        <v>1.5</v>
      </c>
    </row>
    <row r="47" spans="1:59">
      <c r="A47" s="50">
        <f>A26-A16</f>
        <v>21</v>
      </c>
      <c r="B47" s="40">
        <f>B26-B16</f>
        <v>0.90000000000000213</v>
      </c>
      <c r="C47" s="40" t="e" vm="1">
        <f>C26-C16</f>
        <v>#VALUE!</v>
      </c>
      <c r="D47" s="40">
        <f t="shared" ref="D47:BG47" si="10">D26-D16</f>
        <v>-0.5</v>
      </c>
      <c r="E47" s="40">
        <f t="shared" si="10"/>
        <v>1.4000000000000021</v>
      </c>
      <c r="F47" s="40" t="e" vm="1">
        <f t="shared" si="10"/>
        <v>#VALUE!</v>
      </c>
      <c r="G47" s="40">
        <f t="shared" si="10"/>
        <v>9.9999999999997868E-2</v>
      </c>
      <c r="H47" s="40">
        <f t="shared" si="10"/>
        <v>2.3999999999999986</v>
      </c>
      <c r="I47" s="40">
        <f t="shared" si="10"/>
        <v>1.8000000000000007</v>
      </c>
      <c r="J47" s="40">
        <f t="shared" si="10"/>
        <v>2</v>
      </c>
      <c r="K47" s="40">
        <f t="shared" si="10"/>
        <v>1.6999999999999993</v>
      </c>
      <c r="L47" s="40">
        <f t="shared" si="10"/>
        <v>0.19999999999999929</v>
      </c>
      <c r="M47" s="40">
        <f t="shared" si="10"/>
        <v>0.20000000000000284</v>
      </c>
      <c r="N47" s="40">
        <f t="shared" si="10"/>
        <v>0.10000000000000142</v>
      </c>
      <c r="O47" s="40">
        <f t="shared" si="10"/>
        <v>1.1999999999999993</v>
      </c>
      <c r="P47" s="40">
        <f t="shared" si="10"/>
        <v>1.8000000000000007</v>
      </c>
      <c r="Q47" s="40">
        <f t="shared" si="10"/>
        <v>1.4000000000000021</v>
      </c>
      <c r="R47" s="40" t="e" vm="1">
        <f t="shared" si="10"/>
        <v>#VALUE!</v>
      </c>
      <c r="S47" s="40">
        <f t="shared" si="10"/>
        <v>1.9000000000000021</v>
      </c>
      <c r="T47" s="40">
        <f t="shared" si="10"/>
        <v>2.5999999999999979</v>
      </c>
      <c r="U47" s="40">
        <f t="shared" si="10"/>
        <v>1.6000000000000014</v>
      </c>
      <c r="V47" s="40" t="e" vm="1">
        <f t="shared" si="10"/>
        <v>#VALUE!</v>
      </c>
      <c r="W47" s="40">
        <f t="shared" si="10"/>
        <v>1.8999999999999986</v>
      </c>
      <c r="X47" s="40" t="e" vm="1">
        <f t="shared" si="10"/>
        <v>#VALUE!</v>
      </c>
      <c r="Y47" s="40">
        <f t="shared" si="10"/>
        <v>0.89999999999999858</v>
      </c>
      <c r="Z47" s="40">
        <f t="shared" si="10"/>
        <v>2</v>
      </c>
      <c r="AA47" s="40">
        <f t="shared" si="10"/>
        <v>1.6000000000000014</v>
      </c>
      <c r="AB47" s="40">
        <f t="shared" si="10"/>
        <v>2.3999999999999986</v>
      </c>
      <c r="AC47" s="40">
        <f t="shared" si="10"/>
        <v>4.1999999999999993</v>
      </c>
      <c r="AD47" s="40">
        <f t="shared" si="10"/>
        <v>1.5999999999999979</v>
      </c>
      <c r="AE47" s="40">
        <f t="shared" si="10"/>
        <v>3.3000000000000007</v>
      </c>
      <c r="AF47" s="40">
        <f t="shared" si="10"/>
        <v>0.19999999999999929</v>
      </c>
      <c r="AG47" s="40">
        <f t="shared" si="10"/>
        <v>1.8000000000000007</v>
      </c>
      <c r="AH47" s="40">
        <f t="shared" si="10"/>
        <v>2.6999999999999993</v>
      </c>
      <c r="AI47" s="40">
        <f t="shared" si="10"/>
        <v>3.5</v>
      </c>
      <c r="AJ47" s="40">
        <f t="shared" si="10"/>
        <v>3.5999999999999979</v>
      </c>
      <c r="AK47" s="40">
        <f t="shared" si="10"/>
        <v>2.5</v>
      </c>
      <c r="AL47" s="40">
        <f t="shared" si="10"/>
        <v>0.39999999999999858</v>
      </c>
      <c r="AM47" s="40" t="e" vm="1">
        <f t="shared" si="10"/>
        <v>#VALUE!</v>
      </c>
      <c r="AN47" s="40" t="e" vm="1">
        <f t="shared" si="10"/>
        <v>#VALUE!</v>
      </c>
      <c r="AO47" s="40">
        <f t="shared" si="10"/>
        <v>1.8000000000000007</v>
      </c>
      <c r="AP47" s="40">
        <f t="shared" si="10"/>
        <v>2.1000000000000014</v>
      </c>
      <c r="AQ47" s="40">
        <f t="shared" si="10"/>
        <v>1.1999999999999993</v>
      </c>
      <c r="AR47" s="40">
        <f t="shared" si="10"/>
        <v>3.5999999999999979</v>
      </c>
      <c r="AS47" s="40">
        <f t="shared" si="10"/>
        <v>2.1999999999999993</v>
      </c>
      <c r="AT47" s="40">
        <f t="shared" si="10"/>
        <v>1.1999999999999993</v>
      </c>
      <c r="AU47" s="40">
        <f t="shared" si="10"/>
        <v>2.6999999999999993</v>
      </c>
      <c r="AV47" s="40">
        <f t="shared" si="10"/>
        <v>2.2999999999999972</v>
      </c>
      <c r="AW47" s="40">
        <f t="shared" si="10"/>
        <v>1.1000000000000014</v>
      </c>
      <c r="AX47" s="40">
        <f t="shared" si="10"/>
        <v>1.6000000000000014</v>
      </c>
      <c r="AY47" s="40">
        <f t="shared" si="10"/>
        <v>1.4000000000000021</v>
      </c>
      <c r="AZ47" s="40" t="e" vm="1">
        <f t="shared" si="10"/>
        <v>#VALUE!</v>
      </c>
      <c r="BA47" s="40">
        <f t="shared" si="10"/>
        <v>1.7999999999999972</v>
      </c>
      <c r="BB47" s="40">
        <f t="shared" si="10"/>
        <v>2.1000000000000014</v>
      </c>
      <c r="BC47" s="40">
        <f t="shared" si="10"/>
        <v>2.3000000000000007</v>
      </c>
      <c r="BD47" s="40">
        <f t="shared" si="10"/>
        <v>3.3000000000000007</v>
      </c>
      <c r="BE47" s="40">
        <f t="shared" si="10"/>
        <v>1</v>
      </c>
      <c r="BF47" s="40">
        <f t="shared" si="10"/>
        <v>0.10000000000000142</v>
      </c>
      <c r="BG47" s="40">
        <f t="shared" si="10"/>
        <v>1.8999999999999986</v>
      </c>
    </row>
    <row r="48" spans="1:59">
      <c r="A48" s="50">
        <f>A27-A16</f>
        <v>22</v>
      </c>
      <c r="B48" s="40">
        <f>B27-B16</f>
        <v>1.3000000000000007</v>
      </c>
      <c r="C48" s="40" t="e" vm="1">
        <f>C27-C16</f>
        <v>#VALUE!</v>
      </c>
      <c r="D48" s="40" t="e" vm="1">
        <f t="shared" ref="D48:BG48" si="11">D27-D16</f>
        <v>#VALUE!</v>
      </c>
      <c r="E48" s="40">
        <f t="shared" si="11"/>
        <v>1.1000000000000014</v>
      </c>
      <c r="F48" s="40" t="e" vm="1">
        <f t="shared" si="11"/>
        <v>#VALUE!</v>
      </c>
      <c r="G48" s="40">
        <f t="shared" si="11"/>
        <v>-1.3000000000000007</v>
      </c>
      <c r="H48" s="40">
        <f t="shared" si="11"/>
        <v>2.3000000000000007</v>
      </c>
      <c r="I48" s="40">
        <f t="shared" si="11"/>
        <v>1.8999999999999986</v>
      </c>
      <c r="J48" s="40">
        <f t="shared" si="11"/>
        <v>1.9000000000000021</v>
      </c>
      <c r="K48" s="40">
        <f t="shared" si="11"/>
        <v>1.5</v>
      </c>
      <c r="L48" s="40">
        <f t="shared" si="11"/>
        <v>-0.60000000000000142</v>
      </c>
      <c r="M48" s="40">
        <f t="shared" si="11"/>
        <v>-0.19999999999999929</v>
      </c>
      <c r="N48" s="40">
        <f t="shared" si="11"/>
        <v>-1.2999999999999972</v>
      </c>
      <c r="O48" s="40">
        <f t="shared" si="11"/>
        <v>0.5</v>
      </c>
      <c r="P48" s="40" t="e" vm="1">
        <f t="shared" si="11"/>
        <v>#VALUE!</v>
      </c>
      <c r="Q48" s="40">
        <f t="shared" si="11"/>
        <v>0.10000000000000142</v>
      </c>
      <c r="R48" s="40" t="e" vm="1">
        <f t="shared" si="11"/>
        <v>#VALUE!</v>
      </c>
      <c r="S48" s="40" t="e" vm="1">
        <f t="shared" si="11"/>
        <v>#VALUE!</v>
      </c>
      <c r="T48" s="40" t="e" vm="1">
        <f t="shared" si="11"/>
        <v>#VALUE!</v>
      </c>
      <c r="U48" s="40" t="e" vm="1">
        <f t="shared" si="11"/>
        <v>#VALUE!</v>
      </c>
      <c r="V48" s="40" t="e" vm="1">
        <f t="shared" si="11"/>
        <v>#VALUE!</v>
      </c>
      <c r="W48" s="40">
        <f t="shared" si="11"/>
        <v>2</v>
      </c>
      <c r="X48" s="40" t="e" vm="1">
        <f t="shared" si="11"/>
        <v>#VALUE!</v>
      </c>
      <c r="Y48" s="40">
        <f t="shared" si="11"/>
        <v>0.59999999999999787</v>
      </c>
      <c r="Z48" s="40">
        <f t="shared" si="11"/>
        <v>1.3999999999999986</v>
      </c>
      <c r="AA48" s="40" t="e" vm="1">
        <f t="shared" si="11"/>
        <v>#VALUE!</v>
      </c>
      <c r="AB48" s="40">
        <f t="shared" si="11"/>
        <v>1.8999999999999986</v>
      </c>
      <c r="AC48" s="40">
        <f t="shared" si="11"/>
        <v>3.8000000000000007</v>
      </c>
      <c r="AD48" s="40" t="e" vm="1">
        <f t="shared" si="11"/>
        <v>#VALUE!</v>
      </c>
      <c r="AE48" s="40">
        <f t="shared" si="11"/>
        <v>2.9000000000000021</v>
      </c>
      <c r="AF48" s="40" t="e" vm="1">
        <f t="shared" si="11"/>
        <v>#VALUE!</v>
      </c>
      <c r="AG48" s="40">
        <f t="shared" si="11"/>
        <v>1.6000000000000014</v>
      </c>
      <c r="AH48" s="40">
        <f t="shared" si="11"/>
        <v>2.3000000000000007</v>
      </c>
      <c r="AI48" s="40">
        <f t="shared" si="11"/>
        <v>3.8000000000000007</v>
      </c>
      <c r="AJ48" s="40">
        <f t="shared" si="11"/>
        <v>2.3999999999999986</v>
      </c>
      <c r="AK48" s="40">
        <f t="shared" si="11"/>
        <v>2.5</v>
      </c>
      <c r="AL48" s="40" t="e" vm="1">
        <f t="shared" si="11"/>
        <v>#VALUE!</v>
      </c>
      <c r="AM48" s="40" t="e" vm="1">
        <f t="shared" si="11"/>
        <v>#VALUE!</v>
      </c>
      <c r="AN48" s="40" t="e" vm="1">
        <f t="shared" si="11"/>
        <v>#VALUE!</v>
      </c>
      <c r="AO48" s="40">
        <f t="shared" si="11"/>
        <v>1.4000000000000021</v>
      </c>
      <c r="AP48" s="40">
        <f t="shared" si="11"/>
        <v>1.4000000000000021</v>
      </c>
      <c r="AQ48" s="40">
        <f t="shared" si="11"/>
        <v>1</v>
      </c>
      <c r="AR48" s="40">
        <f t="shared" si="11"/>
        <v>3</v>
      </c>
      <c r="AS48" s="40">
        <f t="shared" si="11"/>
        <v>2</v>
      </c>
      <c r="AT48" s="40">
        <f t="shared" si="11"/>
        <v>0.79999999999999716</v>
      </c>
      <c r="AU48" s="40">
        <f t="shared" si="11"/>
        <v>2.3999999999999986</v>
      </c>
      <c r="AV48" s="40">
        <f t="shared" si="11"/>
        <v>2</v>
      </c>
      <c r="AW48" s="40">
        <f t="shared" si="11"/>
        <v>0.89999999999999858</v>
      </c>
      <c r="AX48" s="40">
        <f t="shared" si="11"/>
        <v>1.7000000000000028</v>
      </c>
      <c r="AY48" s="40">
        <f t="shared" si="11"/>
        <v>1</v>
      </c>
      <c r="AZ48" s="40" t="e" vm="1">
        <f t="shared" si="11"/>
        <v>#VALUE!</v>
      </c>
      <c r="BA48" s="40">
        <f t="shared" si="11"/>
        <v>1.5999999999999979</v>
      </c>
      <c r="BB48" s="40">
        <f t="shared" si="11"/>
        <v>2</v>
      </c>
      <c r="BC48" s="40">
        <f t="shared" si="11"/>
        <v>2</v>
      </c>
      <c r="BD48" s="40">
        <f t="shared" si="11"/>
        <v>3.8000000000000007</v>
      </c>
      <c r="BE48" s="40">
        <f t="shared" si="11"/>
        <v>1.0999999999999979</v>
      </c>
      <c r="BF48" s="40">
        <f t="shared" si="11"/>
        <v>-0.30000000000000071</v>
      </c>
      <c r="BG48" s="40">
        <f t="shared" si="11"/>
        <v>1.6999999999999993</v>
      </c>
    </row>
    <row r="49" spans="1:59">
      <c r="A49" s="50">
        <f>A28-A16</f>
        <v>23</v>
      </c>
      <c r="B49" s="40">
        <f>B28-B16</f>
        <v>1.1000000000000014</v>
      </c>
      <c r="C49" s="40" t="e" vm="1">
        <f>C28-C16</f>
        <v>#VALUE!</v>
      </c>
      <c r="D49" s="40" t="e" vm="1">
        <f t="shared" ref="D49:BG49" si="12">D28-D16</f>
        <v>#VALUE!</v>
      </c>
      <c r="E49" s="40">
        <f t="shared" si="12"/>
        <v>1.6000000000000014</v>
      </c>
      <c r="F49" s="40" t="e" vm="1">
        <f t="shared" si="12"/>
        <v>#VALUE!</v>
      </c>
      <c r="G49" s="40">
        <f t="shared" si="12"/>
        <v>-1.1000000000000014</v>
      </c>
      <c r="H49" s="40">
        <f t="shared" si="12"/>
        <v>2.5</v>
      </c>
      <c r="I49" s="40">
        <f t="shared" si="12"/>
        <v>1.5</v>
      </c>
      <c r="J49" s="40">
        <f t="shared" si="12"/>
        <v>2.2000000000000028</v>
      </c>
      <c r="K49" s="40">
        <f t="shared" si="12"/>
        <v>1.6999999999999993</v>
      </c>
      <c r="L49" s="40">
        <f t="shared" si="12"/>
        <v>0</v>
      </c>
      <c r="M49" s="40">
        <f t="shared" si="12"/>
        <v>0.20000000000000284</v>
      </c>
      <c r="N49" s="40">
        <f t="shared" si="12"/>
        <v>-2.5</v>
      </c>
      <c r="O49" s="40">
        <f t="shared" si="12"/>
        <v>0</v>
      </c>
      <c r="P49" s="40" t="e" vm="1">
        <f t="shared" si="12"/>
        <v>#VALUE!</v>
      </c>
      <c r="Q49" s="40">
        <f t="shared" si="12"/>
        <v>0.30000000000000071</v>
      </c>
      <c r="R49" s="40" t="e" vm="1">
        <f t="shared" si="12"/>
        <v>#VALUE!</v>
      </c>
      <c r="S49" s="40" t="e" vm="1">
        <f t="shared" si="12"/>
        <v>#VALUE!</v>
      </c>
      <c r="T49" s="40" t="e" vm="1">
        <f t="shared" si="12"/>
        <v>#VALUE!</v>
      </c>
      <c r="U49" s="40" t="e" vm="1">
        <f t="shared" si="12"/>
        <v>#VALUE!</v>
      </c>
      <c r="V49" s="40" t="e" vm="1">
        <f t="shared" si="12"/>
        <v>#VALUE!</v>
      </c>
      <c r="W49" s="40">
        <f t="shared" si="12"/>
        <v>2</v>
      </c>
      <c r="X49" s="40" t="e" vm="1">
        <f t="shared" si="12"/>
        <v>#VALUE!</v>
      </c>
      <c r="Y49" s="40">
        <f t="shared" si="12"/>
        <v>0.39999999999999858</v>
      </c>
      <c r="Z49" s="40">
        <f t="shared" si="12"/>
        <v>1.5</v>
      </c>
      <c r="AA49" s="40" t="e" vm="1">
        <f t="shared" si="12"/>
        <v>#VALUE!</v>
      </c>
      <c r="AB49" s="40">
        <f t="shared" si="12"/>
        <v>2.5999999999999979</v>
      </c>
      <c r="AC49" s="40">
        <f t="shared" si="12"/>
        <v>3.4000000000000021</v>
      </c>
      <c r="AD49" s="40" t="e" vm="1">
        <f t="shared" si="12"/>
        <v>#VALUE!</v>
      </c>
      <c r="AE49" s="40">
        <f t="shared" si="12"/>
        <v>3.1000000000000014</v>
      </c>
      <c r="AF49" s="40" t="e" vm="1">
        <f t="shared" si="12"/>
        <v>#VALUE!</v>
      </c>
      <c r="AG49" s="40">
        <f t="shared" si="12"/>
        <v>1.5</v>
      </c>
      <c r="AH49" s="40">
        <f t="shared" si="12"/>
        <v>2.3999999999999986</v>
      </c>
      <c r="AI49" s="40">
        <f t="shared" si="12"/>
        <v>3.8000000000000007</v>
      </c>
      <c r="AJ49" s="40">
        <f t="shared" si="12"/>
        <v>2.3999999999999986</v>
      </c>
      <c r="AK49" s="40">
        <f t="shared" si="12"/>
        <v>2.3999999999999986</v>
      </c>
      <c r="AL49" s="40" t="e" vm="1">
        <f t="shared" si="12"/>
        <v>#VALUE!</v>
      </c>
      <c r="AM49" s="40" t="e" vm="1">
        <f t="shared" si="12"/>
        <v>#VALUE!</v>
      </c>
      <c r="AN49" s="40" t="e" vm="1">
        <f t="shared" si="12"/>
        <v>#VALUE!</v>
      </c>
      <c r="AO49" s="40">
        <f t="shared" si="12"/>
        <v>1.6999999999999993</v>
      </c>
      <c r="AP49" s="40">
        <f t="shared" si="12"/>
        <v>0.80000000000000071</v>
      </c>
      <c r="AQ49" s="40">
        <f t="shared" si="12"/>
        <v>0.89999999999999858</v>
      </c>
      <c r="AR49" s="40">
        <f t="shared" si="12"/>
        <v>2.6999999999999993</v>
      </c>
      <c r="AS49" s="40">
        <f t="shared" si="12"/>
        <v>2.1999999999999993</v>
      </c>
      <c r="AT49" s="40">
        <f t="shared" si="12"/>
        <v>1.1999999999999993</v>
      </c>
      <c r="AU49" s="40">
        <f t="shared" si="12"/>
        <v>2.6999999999999993</v>
      </c>
      <c r="AV49" s="40">
        <f t="shared" si="12"/>
        <v>1.8999999999999986</v>
      </c>
      <c r="AW49" s="40">
        <f t="shared" si="12"/>
        <v>1</v>
      </c>
      <c r="AX49" s="40">
        <f t="shared" si="12"/>
        <v>1.4000000000000021</v>
      </c>
      <c r="AY49" s="40">
        <f t="shared" si="12"/>
        <v>0.90000000000000213</v>
      </c>
      <c r="AZ49" s="40" t="e" vm="1">
        <f t="shared" si="12"/>
        <v>#VALUE!</v>
      </c>
      <c r="BA49" s="40">
        <f t="shared" si="12"/>
        <v>1.5999999999999979</v>
      </c>
      <c r="BB49" s="40">
        <f t="shared" si="12"/>
        <v>1.7000000000000028</v>
      </c>
      <c r="BC49" s="40">
        <f t="shared" si="12"/>
        <v>1.6000000000000014</v>
      </c>
      <c r="BD49" s="40">
        <f t="shared" si="12"/>
        <v>3.3999999999999986</v>
      </c>
      <c r="BE49" s="40">
        <f t="shared" si="12"/>
        <v>1.0999999999999979</v>
      </c>
      <c r="BF49" s="40">
        <f t="shared" si="12"/>
        <v>-9.9999999999997868E-2</v>
      </c>
      <c r="BG49" s="40">
        <f t="shared" si="12"/>
        <v>2</v>
      </c>
    </row>
    <row r="50" spans="1:59">
      <c r="A50" s="50">
        <f>A29-A16</f>
        <v>25</v>
      </c>
      <c r="B50" s="40">
        <f>B29-B16</f>
        <v>-0.59999999999999787</v>
      </c>
      <c r="C50" s="40" t="e" vm="1">
        <f>C29-C16</f>
        <v>#VALUE!</v>
      </c>
      <c r="D50" s="40" t="e" vm="1">
        <f t="shared" ref="D50:BG50" si="13">D29-D16</f>
        <v>#VALUE!</v>
      </c>
      <c r="E50" s="40">
        <f t="shared" si="13"/>
        <v>-0.19999999999999929</v>
      </c>
      <c r="F50" s="40" t="e" vm="1">
        <f t="shared" si="13"/>
        <v>#VALUE!</v>
      </c>
      <c r="G50" s="40" t="e" vm="1">
        <f t="shared" si="13"/>
        <v>#VALUE!</v>
      </c>
      <c r="H50" s="40">
        <f t="shared" si="13"/>
        <v>0.69999999999999929</v>
      </c>
      <c r="I50" s="40">
        <f t="shared" si="13"/>
        <v>0.69999999999999929</v>
      </c>
      <c r="J50" s="40">
        <f t="shared" si="13"/>
        <v>0.40000000000000213</v>
      </c>
      <c r="K50" s="40">
        <f t="shared" si="13"/>
        <v>0.69999999999999929</v>
      </c>
      <c r="L50" s="40">
        <f t="shared" si="13"/>
        <v>0.30000000000000071</v>
      </c>
      <c r="M50" s="40">
        <f t="shared" si="13"/>
        <v>-0.29999999999999716</v>
      </c>
      <c r="N50" s="40" t="e" vm="1">
        <f t="shared" si="13"/>
        <v>#VALUE!</v>
      </c>
      <c r="O50" s="40">
        <f t="shared" si="13"/>
        <v>-0.80000000000000071</v>
      </c>
      <c r="P50" s="40" t="e" vm="1">
        <f t="shared" si="13"/>
        <v>#VALUE!</v>
      </c>
      <c r="Q50" s="40">
        <f t="shared" si="13"/>
        <v>-0.89999999999999858</v>
      </c>
      <c r="R50" s="40" t="e" vm="1">
        <f t="shared" si="13"/>
        <v>#VALUE!</v>
      </c>
      <c r="S50" s="40" t="e" vm="1">
        <f t="shared" si="13"/>
        <v>#VALUE!</v>
      </c>
      <c r="T50" s="40" t="e" vm="1">
        <f t="shared" si="13"/>
        <v>#VALUE!</v>
      </c>
      <c r="U50" s="40" t="e" vm="1">
        <f t="shared" si="13"/>
        <v>#VALUE!</v>
      </c>
      <c r="V50" s="40" t="e" vm="1">
        <f t="shared" si="13"/>
        <v>#VALUE!</v>
      </c>
      <c r="W50" s="40">
        <f t="shared" si="13"/>
        <v>0.5</v>
      </c>
      <c r="X50" s="40" t="e" vm="1">
        <f t="shared" si="13"/>
        <v>#VALUE!</v>
      </c>
      <c r="Y50" s="40">
        <f t="shared" si="13"/>
        <v>-0.30000000000000071</v>
      </c>
      <c r="Z50" s="40" t="e" vm="1">
        <f t="shared" si="13"/>
        <v>#VALUE!</v>
      </c>
      <c r="AA50" s="40" t="e" vm="1">
        <f t="shared" si="13"/>
        <v>#VALUE!</v>
      </c>
      <c r="AB50" s="40">
        <f t="shared" si="13"/>
        <v>2</v>
      </c>
      <c r="AC50" s="40">
        <f t="shared" si="13"/>
        <v>2.8000000000000007</v>
      </c>
      <c r="AD50" s="40" t="e" vm="1">
        <f t="shared" si="13"/>
        <v>#VALUE!</v>
      </c>
      <c r="AE50" s="40">
        <f t="shared" si="13"/>
        <v>2.8000000000000007</v>
      </c>
      <c r="AF50" s="40" t="e" vm="1">
        <f t="shared" si="13"/>
        <v>#VALUE!</v>
      </c>
      <c r="AG50" s="40" t="e" vm="1">
        <f t="shared" si="13"/>
        <v>#VALUE!</v>
      </c>
      <c r="AH50" s="40">
        <f t="shared" si="13"/>
        <v>2.6000000000000014</v>
      </c>
      <c r="AI50" s="40">
        <f t="shared" si="13"/>
        <v>3.3999999999999986</v>
      </c>
      <c r="AJ50" s="40">
        <f t="shared" si="13"/>
        <v>0.39999999999999858</v>
      </c>
      <c r="AK50" s="40">
        <f t="shared" si="13"/>
        <v>2.1000000000000014</v>
      </c>
      <c r="AL50" s="40" t="e" vm="1">
        <f t="shared" si="13"/>
        <v>#VALUE!</v>
      </c>
      <c r="AM50" s="40" t="e" vm="1">
        <f t="shared" si="13"/>
        <v>#VALUE!</v>
      </c>
      <c r="AN50" s="40" t="e" vm="1">
        <f t="shared" si="13"/>
        <v>#VALUE!</v>
      </c>
      <c r="AO50" s="40">
        <f t="shared" si="13"/>
        <v>1.5</v>
      </c>
      <c r="AP50" s="40" t="e" vm="1">
        <f t="shared" si="13"/>
        <v>#VALUE!</v>
      </c>
      <c r="AQ50" s="40">
        <f t="shared" si="13"/>
        <v>0.80000000000000071</v>
      </c>
      <c r="AR50" s="40">
        <f t="shared" si="13"/>
        <v>3.6999999999999993</v>
      </c>
      <c r="AS50" s="40">
        <f t="shared" si="13"/>
        <v>2.1000000000000014</v>
      </c>
      <c r="AT50" s="40">
        <f t="shared" si="13"/>
        <v>0.89999999999999858</v>
      </c>
      <c r="AU50" s="40">
        <f t="shared" si="13"/>
        <v>2.6999999999999993</v>
      </c>
      <c r="AV50" s="40" t="e" vm="1">
        <f t="shared" si="13"/>
        <v>#VALUE!</v>
      </c>
      <c r="AW50" s="40">
        <f t="shared" si="13"/>
        <v>0.89999999999999858</v>
      </c>
      <c r="AX50" s="40">
        <f t="shared" si="13"/>
        <v>1.9000000000000021</v>
      </c>
      <c r="AY50" s="40">
        <f t="shared" si="13"/>
        <v>1.5</v>
      </c>
      <c r="AZ50" s="40" t="e" vm="1">
        <f t="shared" si="13"/>
        <v>#VALUE!</v>
      </c>
      <c r="BA50" s="40">
        <f t="shared" si="13"/>
        <v>1.7999999999999972</v>
      </c>
      <c r="BB50" s="40">
        <f t="shared" si="13"/>
        <v>1.3000000000000007</v>
      </c>
      <c r="BC50" s="40">
        <f t="shared" si="13"/>
        <v>2.3000000000000007</v>
      </c>
      <c r="BD50" s="40">
        <f t="shared" si="13"/>
        <v>3.1999999999999993</v>
      </c>
      <c r="BE50" s="40">
        <f t="shared" si="13"/>
        <v>1.0999999999999979</v>
      </c>
      <c r="BF50" s="40">
        <f t="shared" si="13"/>
        <v>0.10000000000000142</v>
      </c>
      <c r="BG50" s="40">
        <f t="shared" si="13"/>
        <v>1.8999999999999986</v>
      </c>
    </row>
    <row r="51" spans="1:59">
      <c r="A51" s="50">
        <f>A30-A16</f>
        <v>26</v>
      </c>
      <c r="B51" s="40">
        <f>B30-B16</f>
        <v>-1</v>
      </c>
      <c r="C51" s="40" t="e" vm="1">
        <f>C30-C16</f>
        <v>#VALUE!</v>
      </c>
      <c r="D51" s="40" t="e" vm="1">
        <f t="shared" ref="D51:BG51" si="14">D30-D16</f>
        <v>#VALUE!</v>
      </c>
      <c r="E51" s="40" t="e" vm="1">
        <f t="shared" si="14"/>
        <v>#VALUE!</v>
      </c>
      <c r="F51" s="40" t="e" vm="1">
        <f t="shared" si="14"/>
        <v>#VALUE!</v>
      </c>
      <c r="G51" s="40" t="e" vm="1">
        <f t="shared" si="14"/>
        <v>#VALUE!</v>
      </c>
      <c r="H51" s="40" t="e" vm="1">
        <f t="shared" si="14"/>
        <v>#VALUE!</v>
      </c>
      <c r="I51" s="40">
        <f t="shared" si="14"/>
        <v>0.39999999999999858</v>
      </c>
      <c r="J51" s="40">
        <f t="shared" si="14"/>
        <v>-0.89999999999999858</v>
      </c>
      <c r="K51" s="40">
        <f t="shared" si="14"/>
        <v>0.60000000000000142</v>
      </c>
      <c r="L51" s="40">
        <f t="shared" si="14"/>
        <v>-0.10000000000000142</v>
      </c>
      <c r="M51" s="40">
        <f t="shared" si="14"/>
        <v>-1.3999999999999986</v>
      </c>
      <c r="N51" s="40" t="e" vm="1">
        <f t="shared" si="14"/>
        <v>#VALUE!</v>
      </c>
      <c r="O51" s="40">
        <f t="shared" si="14"/>
        <v>-1</v>
      </c>
      <c r="P51" s="40" t="e" vm="1">
        <f t="shared" si="14"/>
        <v>#VALUE!</v>
      </c>
      <c r="Q51" s="40" t="e" vm="1">
        <f t="shared" si="14"/>
        <v>#VALUE!</v>
      </c>
      <c r="R51" s="40" t="e" vm="1">
        <f t="shared" si="14"/>
        <v>#VALUE!</v>
      </c>
      <c r="S51" s="40" t="e" vm="1">
        <f t="shared" si="14"/>
        <v>#VALUE!</v>
      </c>
      <c r="T51" s="40" t="e" vm="1">
        <f t="shared" si="14"/>
        <v>#VALUE!</v>
      </c>
      <c r="U51" s="40" t="e" vm="1">
        <f t="shared" si="14"/>
        <v>#VALUE!</v>
      </c>
      <c r="V51" s="40" t="e" vm="1">
        <f t="shared" si="14"/>
        <v>#VALUE!</v>
      </c>
      <c r="W51" s="40" t="e" vm="1">
        <f t="shared" si="14"/>
        <v>#VALUE!</v>
      </c>
      <c r="X51" s="40" t="e" vm="1">
        <f t="shared" si="14"/>
        <v>#VALUE!</v>
      </c>
      <c r="Y51" s="40">
        <f t="shared" si="14"/>
        <v>-0.80000000000000071</v>
      </c>
      <c r="Z51" s="40" t="e" vm="1">
        <f t="shared" si="14"/>
        <v>#VALUE!</v>
      </c>
      <c r="AA51" s="40" t="e" vm="1">
        <f t="shared" si="14"/>
        <v>#VALUE!</v>
      </c>
      <c r="AB51" s="40">
        <f t="shared" si="14"/>
        <v>2.2999999999999972</v>
      </c>
      <c r="AC51" s="40">
        <f t="shared" si="14"/>
        <v>2.9000000000000021</v>
      </c>
      <c r="AD51" s="40" t="e" vm="1">
        <f t="shared" si="14"/>
        <v>#VALUE!</v>
      </c>
      <c r="AE51" s="40">
        <f t="shared" si="14"/>
        <v>3.3000000000000007</v>
      </c>
      <c r="AF51" s="40" t="e" vm="1">
        <f t="shared" si="14"/>
        <v>#VALUE!</v>
      </c>
      <c r="AG51" s="40" t="e" vm="1">
        <f t="shared" si="14"/>
        <v>#VALUE!</v>
      </c>
      <c r="AH51" s="40">
        <f t="shared" si="14"/>
        <v>1.8999999999999986</v>
      </c>
      <c r="AI51" s="40">
        <f t="shared" si="14"/>
        <v>3.6000000000000014</v>
      </c>
      <c r="AJ51" s="40">
        <f t="shared" si="14"/>
        <v>-0.40000000000000213</v>
      </c>
      <c r="AK51" s="40">
        <f t="shared" si="14"/>
        <v>2.5</v>
      </c>
      <c r="AL51" s="40" t="e" vm="1">
        <f t="shared" si="14"/>
        <v>#VALUE!</v>
      </c>
      <c r="AM51" s="40" t="e" vm="1">
        <f t="shared" si="14"/>
        <v>#VALUE!</v>
      </c>
      <c r="AN51" s="40" t="e" vm="1">
        <f t="shared" si="14"/>
        <v>#VALUE!</v>
      </c>
      <c r="AO51" s="40">
        <f t="shared" si="14"/>
        <v>1.3000000000000007</v>
      </c>
      <c r="AP51" s="40" t="e" vm="1">
        <f t="shared" si="14"/>
        <v>#VALUE!</v>
      </c>
      <c r="AQ51" s="40">
        <f t="shared" si="14"/>
        <v>0.39999999999999858</v>
      </c>
      <c r="AR51" s="40">
        <f t="shared" si="14"/>
        <v>3.6999999999999993</v>
      </c>
      <c r="AS51" s="40">
        <f t="shared" si="14"/>
        <v>2.1999999999999993</v>
      </c>
      <c r="AT51" s="40">
        <f t="shared" si="14"/>
        <v>1.5</v>
      </c>
      <c r="AU51" s="40">
        <f t="shared" si="14"/>
        <v>3</v>
      </c>
      <c r="AV51" s="40" t="e" vm="1">
        <f t="shared" si="14"/>
        <v>#VALUE!</v>
      </c>
      <c r="AW51" s="40">
        <f t="shared" si="14"/>
        <v>1</v>
      </c>
      <c r="AX51" s="40">
        <f t="shared" si="14"/>
        <v>1.9000000000000021</v>
      </c>
      <c r="AY51" s="40">
        <f t="shared" si="14"/>
        <v>1.1999999999999993</v>
      </c>
      <c r="AZ51" s="40" t="e" vm="1">
        <f t="shared" si="14"/>
        <v>#VALUE!</v>
      </c>
      <c r="BA51" s="40">
        <f t="shared" si="14"/>
        <v>2</v>
      </c>
      <c r="BB51" s="40">
        <f t="shared" si="14"/>
        <v>1.2000000000000028</v>
      </c>
      <c r="BC51" s="40">
        <f t="shared" si="14"/>
        <v>2.5</v>
      </c>
      <c r="BD51" s="40">
        <f t="shared" si="14"/>
        <v>3.6999999999999993</v>
      </c>
      <c r="BE51" s="40">
        <f t="shared" si="14"/>
        <v>1.5999999999999979</v>
      </c>
      <c r="BF51" s="40">
        <f t="shared" si="14"/>
        <v>0.19999999999999929</v>
      </c>
      <c r="BG51" s="40">
        <f t="shared" si="14"/>
        <v>1.8000000000000007</v>
      </c>
    </row>
    <row r="52" spans="1:59">
      <c r="A52" s="50">
        <f>A31-A16</f>
        <v>27</v>
      </c>
      <c r="B52" s="40">
        <f>B31-B16</f>
        <v>-2.0999999999999979</v>
      </c>
      <c r="C52" s="40" t="e" vm="1">
        <f>C31-C16</f>
        <v>#VALUE!</v>
      </c>
      <c r="D52" s="40" t="e" vm="1">
        <f t="shared" ref="D52:BG52" si="15">D31-D16</f>
        <v>#VALUE!</v>
      </c>
      <c r="E52" s="40" t="e" vm="1">
        <f t="shared" si="15"/>
        <v>#VALUE!</v>
      </c>
      <c r="F52" s="40" t="e" vm="1">
        <f t="shared" si="15"/>
        <v>#VALUE!</v>
      </c>
      <c r="G52" s="40" t="e" vm="1">
        <f t="shared" si="15"/>
        <v>#VALUE!</v>
      </c>
      <c r="H52" s="40" t="e" vm="1">
        <f t="shared" si="15"/>
        <v>#VALUE!</v>
      </c>
      <c r="I52" s="40">
        <f t="shared" si="15"/>
        <v>-0.5</v>
      </c>
      <c r="J52" s="40" t="e" vm="1">
        <f t="shared" si="15"/>
        <v>#VALUE!</v>
      </c>
      <c r="K52" s="40">
        <f t="shared" si="15"/>
        <v>-0.19999999999999929</v>
      </c>
      <c r="L52" s="40">
        <f t="shared" si="15"/>
        <v>-0.30000000000000071</v>
      </c>
      <c r="M52" s="40" t="e" vm="1">
        <f t="shared" si="15"/>
        <v>#VALUE!</v>
      </c>
      <c r="N52" s="40" t="e" vm="1">
        <f t="shared" si="15"/>
        <v>#VALUE!</v>
      </c>
      <c r="O52" s="40">
        <f t="shared" si="15"/>
        <v>-3</v>
      </c>
      <c r="P52" s="40" t="e" vm="1">
        <f t="shared" si="15"/>
        <v>#VALUE!</v>
      </c>
      <c r="Q52" s="40" t="e" vm="1">
        <f t="shared" si="15"/>
        <v>#VALUE!</v>
      </c>
      <c r="R52" s="40" t="e" vm="1">
        <f t="shared" si="15"/>
        <v>#VALUE!</v>
      </c>
      <c r="S52" s="40" t="e" vm="1">
        <f t="shared" si="15"/>
        <v>#VALUE!</v>
      </c>
      <c r="T52" s="40" t="e" vm="1">
        <f t="shared" si="15"/>
        <v>#VALUE!</v>
      </c>
      <c r="U52" s="40" t="e" vm="1">
        <f t="shared" si="15"/>
        <v>#VALUE!</v>
      </c>
      <c r="V52" s="40" t="e" vm="1">
        <f t="shared" si="15"/>
        <v>#VALUE!</v>
      </c>
      <c r="W52" s="40" t="e" vm="1">
        <f t="shared" si="15"/>
        <v>#VALUE!</v>
      </c>
      <c r="X52" s="40" t="e" vm="1">
        <f t="shared" si="15"/>
        <v>#VALUE!</v>
      </c>
      <c r="Y52" s="40" t="e" vm="1">
        <f t="shared" si="15"/>
        <v>#VALUE!</v>
      </c>
      <c r="Z52" s="40" t="e" vm="1">
        <f t="shared" si="15"/>
        <v>#VALUE!</v>
      </c>
      <c r="AA52" s="40" t="e" vm="1">
        <f t="shared" si="15"/>
        <v>#VALUE!</v>
      </c>
      <c r="AB52" s="40">
        <f t="shared" si="15"/>
        <v>1.8999999999999986</v>
      </c>
      <c r="AC52" s="40">
        <f t="shared" si="15"/>
        <v>1.8000000000000007</v>
      </c>
      <c r="AD52" s="40" t="e" vm="1">
        <f t="shared" si="15"/>
        <v>#VALUE!</v>
      </c>
      <c r="AE52" s="40">
        <f t="shared" si="15"/>
        <v>3.5</v>
      </c>
      <c r="AF52" s="40" t="e" vm="1">
        <f t="shared" si="15"/>
        <v>#VALUE!</v>
      </c>
      <c r="AG52" s="40" t="e" vm="1">
        <f t="shared" si="15"/>
        <v>#VALUE!</v>
      </c>
      <c r="AH52" s="40">
        <f t="shared" si="15"/>
        <v>1.6999999999999993</v>
      </c>
      <c r="AI52" s="40">
        <f t="shared" si="15"/>
        <v>3.3000000000000007</v>
      </c>
      <c r="AJ52" s="40">
        <f t="shared" si="15"/>
        <v>-0.90000000000000213</v>
      </c>
      <c r="AK52" s="40">
        <f t="shared" si="15"/>
        <v>2.8999999999999986</v>
      </c>
      <c r="AL52" s="40" t="e" vm="1">
        <f t="shared" si="15"/>
        <v>#VALUE!</v>
      </c>
      <c r="AM52" s="40" t="e" vm="1">
        <f t="shared" si="15"/>
        <v>#VALUE!</v>
      </c>
      <c r="AN52" s="40" t="e" vm="1">
        <f t="shared" si="15"/>
        <v>#VALUE!</v>
      </c>
      <c r="AO52" s="40" t="e" vm="1">
        <f t="shared" si="15"/>
        <v>#VALUE!</v>
      </c>
      <c r="AP52" s="40" t="e" vm="1">
        <f t="shared" si="15"/>
        <v>#VALUE!</v>
      </c>
      <c r="AQ52" s="40">
        <f t="shared" si="15"/>
        <v>1.5999999999999979</v>
      </c>
      <c r="AR52" s="40">
        <f t="shared" si="15"/>
        <v>4.1999999999999993</v>
      </c>
      <c r="AS52" s="40">
        <f t="shared" si="15"/>
        <v>2.3999999999999986</v>
      </c>
      <c r="AT52" s="40">
        <f t="shared" si="15"/>
        <v>1.3999999999999986</v>
      </c>
      <c r="AU52" s="40">
        <f t="shared" si="15"/>
        <v>3.3000000000000007</v>
      </c>
      <c r="AV52" s="40" t="e" vm="1">
        <f t="shared" si="15"/>
        <v>#VALUE!</v>
      </c>
      <c r="AW52" s="40">
        <f t="shared" si="15"/>
        <v>1.3000000000000007</v>
      </c>
      <c r="AX52" s="40">
        <f t="shared" si="15"/>
        <v>2.1000000000000014</v>
      </c>
      <c r="AY52" s="40">
        <f t="shared" si="15"/>
        <v>1.6999999999999993</v>
      </c>
      <c r="AZ52" s="40" t="e" vm="1">
        <f t="shared" si="15"/>
        <v>#VALUE!</v>
      </c>
      <c r="BA52" s="40">
        <f t="shared" si="15"/>
        <v>2.5</v>
      </c>
      <c r="BB52" s="40">
        <f t="shared" si="15"/>
        <v>1.7000000000000028</v>
      </c>
      <c r="BC52" s="40">
        <f t="shared" si="15"/>
        <v>2.9000000000000021</v>
      </c>
      <c r="BD52" s="40">
        <f t="shared" si="15"/>
        <v>4.5</v>
      </c>
      <c r="BE52" s="40">
        <f t="shared" si="15"/>
        <v>1.5</v>
      </c>
      <c r="BF52" s="40">
        <f t="shared" si="15"/>
        <v>0.80000000000000071</v>
      </c>
      <c r="BG52" s="40">
        <f t="shared" si="15"/>
        <v>2</v>
      </c>
    </row>
    <row r="53" spans="1:59">
      <c r="A53" s="50">
        <f>A32-A16</f>
        <v>28</v>
      </c>
      <c r="B53" s="40">
        <f>B32-B16</f>
        <v>-3.6999999999999993</v>
      </c>
      <c r="C53" s="40" t="e" vm="1">
        <f>C32-C16</f>
        <v>#VALUE!</v>
      </c>
      <c r="D53" s="40" t="e" vm="1">
        <f t="shared" ref="D53:BG53" si="16">D32-D16</f>
        <v>#VALUE!</v>
      </c>
      <c r="E53" s="40" t="e" vm="1">
        <f t="shared" si="16"/>
        <v>#VALUE!</v>
      </c>
      <c r="F53" s="40" t="e" vm="1">
        <f t="shared" si="16"/>
        <v>#VALUE!</v>
      </c>
      <c r="G53" s="40" t="e" vm="1">
        <f t="shared" si="16"/>
        <v>#VALUE!</v>
      </c>
      <c r="H53" s="40" t="e" vm="1">
        <f t="shared" si="16"/>
        <v>#VALUE!</v>
      </c>
      <c r="I53" s="40">
        <f t="shared" si="16"/>
        <v>-0.89999999999999858</v>
      </c>
      <c r="J53" s="40" t="e" vm="1">
        <f t="shared" si="16"/>
        <v>#VALUE!</v>
      </c>
      <c r="K53" s="40">
        <f t="shared" si="16"/>
        <v>-0.89999999999999858</v>
      </c>
      <c r="L53" s="40">
        <f t="shared" si="16"/>
        <v>-1.3999999999999986</v>
      </c>
      <c r="M53" s="40" t="e" vm="1">
        <f t="shared" si="16"/>
        <v>#VALUE!</v>
      </c>
      <c r="N53" s="40" t="e" vm="1">
        <f t="shared" si="16"/>
        <v>#VALUE!</v>
      </c>
      <c r="O53" s="40">
        <f t="shared" si="16"/>
        <v>-4.6999999999999993</v>
      </c>
      <c r="P53" s="40" t="e" vm="1">
        <f t="shared" si="16"/>
        <v>#VALUE!</v>
      </c>
      <c r="Q53" s="40" t="e" vm="1">
        <f t="shared" si="16"/>
        <v>#VALUE!</v>
      </c>
      <c r="R53" s="40" t="e" vm="1">
        <f t="shared" si="16"/>
        <v>#VALUE!</v>
      </c>
      <c r="S53" s="40" t="e" vm="1">
        <f t="shared" si="16"/>
        <v>#VALUE!</v>
      </c>
      <c r="T53" s="40" t="e" vm="1">
        <f t="shared" si="16"/>
        <v>#VALUE!</v>
      </c>
      <c r="U53" s="40" t="e" vm="1">
        <f t="shared" si="16"/>
        <v>#VALUE!</v>
      </c>
      <c r="V53" s="40" t="e" vm="1">
        <f t="shared" si="16"/>
        <v>#VALUE!</v>
      </c>
      <c r="W53" s="40" t="e" vm="1">
        <f t="shared" si="16"/>
        <v>#VALUE!</v>
      </c>
      <c r="X53" s="40" t="e" vm="1">
        <f t="shared" si="16"/>
        <v>#VALUE!</v>
      </c>
      <c r="Y53" s="40" t="e" vm="1">
        <f t="shared" si="16"/>
        <v>#VALUE!</v>
      </c>
      <c r="Z53" s="40" t="e" vm="1">
        <f t="shared" si="16"/>
        <v>#VALUE!</v>
      </c>
      <c r="AA53" s="40" t="e" vm="1">
        <f t="shared" si="16"/>
        <v>#VALUE!</v>
      </c>
      <c r="AB53" s="40">
        <f t="shared" si="16"/>
        <v>2.0999999999999979</v>
      </c>
      <c r="AC53" s="40">
        <f t="shared" si="16"/>
        <v>1</v>
      </c>
      <c r="AD53" s="40" t="e" vm="1">
        <f t="shared" si="16"/>
        <v>#VALUE!</v>
      </c>
      <c r="AE53" s="40">
        <f t="shared" si="16"/>
        <v>3.4000000000000021</v>
      </c>
      <c r="AF53" s="40" t="e" vm="1">
        <f t="shared" si="16"/>
        <v>#VALUE!</v>
      </c>
      <c r="AG53" s="40" t="e" vm="1">
        <f t="shared" si="16"/>
        <v>#VALUE!</v>
      </c>
      <c r="AH53" s="40">
        <f t="shared" si="16"/>
        <v>1.5</v>
      </c>
      <c r="AI53" s="40">
        <f t="shared" si="16"/>
        <v>2.6000000000000014</v>
      </c>
      <c r="AJ53" s="40">
        <f t="shared" si="16"/>
        <v>-1.6000000000000014</v>
      </c>
      <c r="AK53" s="40">
        <f t="shared" si="16"/>
        <v>2.6999999999999993</v>
      </c>
      <c r="AL53" s="40" t="e" vm="1">
        <f t="shared" si="16"/>
        <v>#VALUE!</v>
      </c>
      <c r="AM53" s="40" t="e" vm="1">
        <f t="shared" si="16"/>
        <v>#VALUE!</v>
      </c>
      <c r="AN53" s="40" t="e" vm="1">
        <f t="shared" si="16"/>
        <v>#VALUE!</v>
      </c>
      <c r="AO53" s="40" t="e" vm="1">
        <f t="shared" si="16"/>
        <v>#VALUE!</v>
      </c>
      <c r="AP53" s="40" t="e" vm="1">
        <f t="shared" si="16"/>
        <v>#VALUE!</v>
      </c>
      <c r="AQ53" s="40">
        <f t="shared" si="16"/>
        <v>1.3000000000000007</v>
      </c>
      <c r="AR53" s="40">
        <f t="shared" si="16"/>
        <v>3.8999999999999986</v>
      </c>
      <c r="AS53" s="40">
        <f t="shared" si="16"/>
        <v>2.5</v>
      </c>
      <c r="AT53" s="40">
        <f t="shared" si="16"/>
        <v>1.7999999999999972</v>
      </c>
      <c r="AU53" s="40">
        <f t="shared" si="16"/>
        <v>3</v>
      </c>
      <c r="AV53" s="40" t="e" vm="1">
        <f t="shared" si="16"/>
        <v>#VALUE!</v>
      </c>
      <c r="AW53" s="40">
        <f t="shared" si="16"/>
        <v>1.3000000000000007</v>
      </c>
      <c r="AX53" s="40">
        <f t="shared" si="16"/>
        <v>2.3000000000000007</v>
      </c>
      <c r="AY53" s="40">
        <f t="shared" si="16"/>
        <v>1.5</v>
      </c>
      <c r="AZ53" s="40" t="e" vm="1">
        <f t="shared" si="16"/>
        <v>#VALUE!</v>
      </c>
      <c r="BA53" s="40">
        <f t="shared" si="16"/>
        <v>2.5999999999999979</v>
      </c>
      <c r="BB53" s="40">
        <f t="shared" si="16"/>
        <v>1.3000000000000007</v>
      </c>
      <c r="BC53" s="40">
        <f t="shared" si="16"/>
        <v>2.6000000000000014</v>
      </c>
      <c r="BD53" s="40">
        <f t="shared" si="16"/>
        <v>4.0999999999999979</v>
      </c>
      <c r="BE53" s="40">
        <f t="shared" si="16"/>
        <v>1.2999999999999972</v>
      </c>
      <c r="BF53" s="40">
        <f t="shared" si="16"/>
        <v>0.19999999999999929</v>
      </c>
      <c r="BG53" s="40">
        <f t="shared" si="16"/>
        <v>2</v>
      </c>
    </row>
    <row r="54" spans="1:59">
      <c r="A54" s="50">
        <f>A33-A16</f>
        <v>29</v>
      </c>
      <c r="B54" s="40" t="e" vm="1">
        <f>B33-B16</f>
        <v>#VALUE!</v>
      </c>
      <c r="C54" s="40" t="e" vm="1">
        <f>C33-C16</f>
        <v>#VALUE!</v>
      </c>
      <c r="D54" s="40" t="e" vm="1">
        <f t="shared" ref="D54:BG54" si="17">D33-D16</f>
        <v>#VALUE!</v>
      </c>
      <c r="E54" s="40" t="e" vm="1">
        <f t="shared" si="17"/>
        <v>#VALUE!</v>
      </c>
      <c r="F54" s="40" t="e" vm="1">
        <f t="shared" si="17"/>
        <v>#VALUE!</v>
      </c>
      <c r="G54" s="40" t="e" vm="1">
        <f t="shared" si="17"/>
        <v>#VALUE!</v>
      </c>
      <c r="H54" s="40" t="e" vm="1">
        <f t="shared" si="17"/>
        <v>#VALUE!</v>
      </c>
      <c r="I54" s="40" t="e" vm="1">
        <f t="shared" si="17"/>
        <v>#VALUE!</v>
      </c>
      <c r="J54" s="40" t="e" vm="1">
        <f t="shared" si="17"/>
        <v>#VALUE!</v>
      </c>
      <c r="K54" s="40" t="e" vm="1">
        <f t="shared" si="17"/>
        <v>#VALUE!</v>
      </c>
      <c r="L54" s="40" t="e" vm="1">
        <f t="shared" si="17"/>
        <v>#VALUE!</v>
      </c>
      <c r="M54" s="40" t="e" vm="1">
        <f t="shared" si="17"/>
        <v>#VALUE!</v>
      </c>
      <c r="N54" s="40" t="e" vm="1">
        <f t="shared" si="17"/>
        <v>#VALUE!</v>
      </c>
      <c r="O54" s="40" t="e" vm="1">
        <f t="shared" si="17"/>
        <v>#VALUE!</v>
      </c>
      <c r="P54" s="40" t="e" vm="1">
        <f t="shared" si="17"/>
        <v>#VALUE!</v>
      </c>
      <c r="Q54" s="40" t="e" vm="1">
        <f t="shared" si="17"/>
        <v>#VALUE!</v>
      </c>
      <c r="R54" s="40" t="e" vm="1">
        <f t="shared" si="17"/>
        <v>#VALUE!</v>
      </c>
      <c r="S54" s="40" t="e" vm="1">
        <f t="shared" si="17"/>
        <v>#VALUE!</v>
      </c>
      <c r="T54" s="40" t="e" vm="1">
        <f t="shared" si="17"/>
        <v>#VALUE!</v>
      </c>
      <c r="U54" s="40" t="e" vm="1">
        <f t="shared" si="17"/>
        <v>#VALUE!</v>
      </c>
      <c r="V54" s="40" t="e" vm="1">
        <f t="shared" si="17"/>
        <v>#VALUE!</v>
      </c>
      <c r="W54" s="40" t="e" vm="1">
        <f t="shared" si="17"/>
        <v>#VALUE!</v>
      </c>
      <c r="X54" s="40" t="e" vm="1">
        <f t="shared" si="17"/>
        <v>#VALUE!</v>
      </c>
      <c r="Y54" s="40" t="e" vm="1">
        <f t="shared" si="17"/>
        <v>#VALUE!</v>
      </c>
      <c r="Z54" s="40" t="e" vm="1">
        <f t="shared" si="17"/>
        <v>#VALUE!</v>
      </c>
      <c r="AA54" s="40" t="e" vm="1">
        <f t="shared" si="17"/>
        <v>#VALUE!</v>
      </c>
      <c r="AB54" s="40">
        <f t="shared" si="17"/>
        <v>2.3999999999999986</v>
      </c>
      <c r="AC54" s="40" t="e" vm="1">
        <f t="shared" si="17"/>
        <v>#VALUE!</v>
      </c>
      <c r="AD54" s="40" t="e" vm="1">
        <f t="shared" si="17"/>
        <v>#VALUE!</v>
      </c>
      <c r="AE54" s="40">
        <f t="shared" si="17"/>
        <v>3</v>
      </c>
      <c r="AF54" s="40" t="e" vm="1">
        <f t="shared" si="17"/>
        <v>#VALUE!</v>
      </c>
      <c r="AG54" s="40" t="e" vm="1">
        <f t="shared" si="17"/>
        <v>#VALUE!</v>
      </c>
      <c r="AH54" s="40">
        <f t="shared" si="17"/>
        <v>1.6999999999999993</v>
      </c>
      <c r="AI54" s="40">
        <f t="shared" si="17"/>
        <v>1.6000000000000014</v>
      </c>
      <c r="AJ54" s="40" t="e" vm="1">
        <f t="shared" si="17"/>
        <v>#VALUE!</v>
      </c>
      <c r="AK54" s="40">
        <f t="shared" si="17"/>
        <v>3</v>
      </c>
      <c r="AL54" s="40" t="e" vm="1">
        <f t="shared" si="17"/>
        <v>#VALUE!</v>
      </c>
      <c r="AM54" s="40" t="e" vm="1">
        <f t="shared" si="17"/>
        <v>#VALUE!</v>
      </c>
      <c r="AN54" s="40" t="e" vm="1">
        <f t="shared" si="17"/>
        <v>#VALUE!</v>
      </c>
      <c r="AO54" s="40" t="e" vm="1">
        <f t="shared" si="17"/>
        <v>#VALUE!</v>
      </c>
      <c r="AP54" s="40" t="e" vm="1">
        <f t="shared" si="17"/>
        <v>#VALUE!</v>
      </c>
      <c r="AQ54" s="40">
        <f t="shared" si="17"/>
        <v>1.6999999999999993</v>
      </c>
      <c r="AR54" s="40">
        <f t="shared" si="17"/>
        <v>3.6999999999999993</v>
      </c>
      <c r="AS54" s="40">
        <f t="shared" si="17"/>
        <v>2.1999999999999993</v>
      </c>
      <c r="AT54" s="40">
        <f t="shared" si="17"/>
        <v>1.8999999999999986</v>
      </c>
      <c r="AU54" s="40">
        <f t="shared" si="17"/>
        <v>3.6000000000000014</v>
      </c>
      <c r="AV54" s="40" t="e" vm="1">
        <f t="shared" si="17"/>
        <v>#VALUE!</v>
      </c>
      <c r="AW54" s="40">
        <f t="shared" si="17"/>
        <v>1.3000000000000007</v>
      </c>
      <c r="AX54" s="40">
        <f t="shared" si="17"/>
        <v>2</v>
      </c>
      <c r="AY54" s="40">
        <f t="shared" si="17"/>
        <v>1.6000000000000014</v>
      </c>
      <c r="AZ54" s="40" t="e" vm="1">
        <f t="shared" si="17"/>
        <v>#VALUE!</v>
      </c>
      <c r="BA54" s="40">
        <f t="shared" si="17"/>
        <v>2.5999999999999979</v>
      </c>
      <c r="BB54" s="40">
        <f t="shared" si="17"/>
        <v>1.3000000000000007</v>
      </c>
      <c r="BC54" s="40">
        <f t="shared" si="17"/>
        <v>2.9000000000000021</v>
      </c>
      <c r="BD54" s="40">
        <f t="shared" si="17"/>
        <v>4.8000000000000007</v>
      </c>
      <c r="BE54" s="40">
        <f t="shared" si="17"/>
        <v>1.5</v>
      </c>
      <c r="BF54" s="40">
        <f t="shared" si="17"/>
        <v>0.30000000000000071</v>
      </c>
      <c r="BG54" s="40">
        <f t="shared" si="17"/>
        <v>1.8999999999999986</v>
      </c>
    </row>
    <row r="55" spans="1:59">
      <c r="A55" s="51">
        <f>A34-A16</f>
        <v>30</v>
      </c>
      <c r="B55" s="40" t="e" vm="1">
        <f>B34-B16</f>
        <v>#VALUE!</v>
      </c>
      <c r="C55" s="40" t="e" vm="1">
        <f t="shared" ref="C55:BG55" si="18">C34-C16</f>
        <v>#VALUE!</v>
      </c>
      <c r="D55" s="40" t="e" vm="1">
        <f t="shared" si="18"/>
        <v>#VALUE!</v>
      </c>
      <c r="E55" s="40" t="e" vm="1">
        <f t="shared" si="18"/>
        <v>#VALUE!</v>
      </c>
      <c r="F55" s="40" t="e" vm="1">
        <f t="shared" si="18"/>
        <v>#VALUE!</v>
      </c>
      <c r="G55" s="40" t="e" vm="1">
        <f t="shared" si="18"/>
        <v>#VALUE!</v>
      </c>
      <c r="H55" s="40" t="e" vm="1">
        <f t="shared" si="18"/>
        <v>#VALUE!</v>
      </c>
      <c r="I55" s="40" t="e" vm="1">
        <f t="shared" si="18"/>
        <v>#VALUE!</v>
      </c>
      <c r="J55" s="40" t="e" vm="1">
        <f t="shared" si="18"/>
        <v>#VALUE!</v>
      </c>
      <c r="K55" s="40" t="e" vm="1">
        <f t="shared" si="18"/>
        <v>#VALUE!</v>
      </c>
      <c r="L55" s="40" t="e" vm="1">
        <f t="shared" si="18"/>
        <v>#VALUE!</v>
      </c>
      <c r="M55" s="40" t="e" vm="1">
        <f t="shared" si="18"/>
        <v>#VALUE!</v>
      </c>
      <c r="N55" s="40" t="e" vm="1">
        <f t="shared" si="18"/>
        <v>#VALUE!</v>
      </c>
      <c r="O55" s="40" t="e" vm="1">
        <f t="shared" si="18"/>
        <v>#VALUE!</v>
      </c>
      <c r="P55" s="40" t="e" vm="1">
        <f t="shared" si="18"/>
        <v>#VALUE!</v>
      </c>
      <c r="Q55" s="40" t="e" vm="1">
        <f t="shared" si="18"/>
        <v>#VALUE!</v>
      </c>
      <c r="R55" s="40" t="e" vm="1">
        <f t="shared" si="18"/>
        <v>#VALUE!</v>
      </c>
      <c r="S55" s="40" t="e" vm="1">
        <f t="shared" si="18"/>
        <v>#VALUE!</v>
      </c>
      <c r="T55" s="40" t="e" vm="1">
        <f t="shared" si="18"/>
        <v>#VALUE!</v>
      </c>
      <c r="U55" s="40" t="e" vm="1">
        <f t="shared" si="18"/>
        <v>#VALUE!</v>
      </c>
      <c r="V55" s="40" t="e" vm="1">
        <f t="shared" si="18"/>
        <v>#VALUE!</v>
      </c>
      <c r="W55" s="40" t="e" vm="1">
        <f t="shared" si="18"/>
        <v>#VALUE!</v>
      </c>
      <c r="X55" s="40" t="e" vm="1">
        <f t="shared" si="18"/>
        <v>#VALUE!</v>
      </c>
      <c r="Y55" s="40" t="e" vm="1">
        <f t="shared" si="18"/>
        <v>#VALUE!</v>
      </c>
      <c r="Z55" s="40" t="e" vm="1">
        <f t="shared" si="18"/>
        <v>#VALUE!</v>
      </c>
      <c r="AA55" s="40" t="e" vm="1">
        <f t="shared" si="18"/>
        <v>#VALUE!</v>
      </c>
      <c r="AB55" s="40">
        <f t="shared" si="18"/>
        <v>2.0999999999999979</v>
      </c>
      <c r="AC55" s="40" t="e" vm="1">
        <f t="shared" si="18"/>
        <v>#VALUE!</v>
      </c>
      <c r="AD55" s="40" t="e" vm="1">
        <f t="shared" si="18"/>
        <v>#VALUE!</v>
      </c>
      <c r="AE55" s="40">
        <f t="shared" si="18"/>
        <v>2.6999999999999993</v>
      </c>
      <c r="AF55" s="40" t="e" vm="1">
        <f t="shared" si="18"/>
        <v>#VALUE!</v>
      </c>
      <c r="AG55" s="40" t="e" vm="1">
        <f t="shared" si="18"/>
        <v>#VALUE!</v>
      </c>
      <c r="AH55" s="40">
        <f t="shared" si="18"/>
        <v>1.3000000000000007</v>
      </c>
      <c r="AI55" s="40">
        <f t="shared" si="18"/>
        <v>-0.60000000000000142</v>
      </c>
      <c r="AJ55" s="40" t="e" vm="1">
        <f t="shared" si="18"/>
        <v>#VALUE!</v>
      </c>
      <c r="AK55" s="40">
        <f t="shared" si="18"/>
        <v>3.1000000000000014</v>
      </c>
      <c r="AL55" s="40" t="e" vm="1">
        <f t="shared" si="18"/>
        <v>#VALUE!</v>
      </c>
      <c r="AM55" s="40" t="e" vm="1">
        <f t="shared" si="18"/>
        <v>#VALUE!</v>
      </c>
      <c r="AN55" s="40" t="e" vm="1">
        <f t="shared" si="18"/>
        <v>#VALUE!</v>
      </c>
      <c r="AO55" s="40" t="e" vm="1">
        <f t="shared" si="18"/>
        <v>#VALUE!</v>
      </c>
      <c r="AP55" s="40" t="e" vm="1">
        <f t="shared" si="18"/>
        <v>#VALUE!</v>
      </c>
      <c r="AQ55" s="40">
        <f t="shared" si="18"/>
        <v>1.8000000000000007</v>
      </c>
      <c r="AR55" s="40">
        <f t="shared" si="18"/>
        <v>4</v>
      </c>
      <c r="AS55" s="40">
        <f t="shared" si="18"/>
        <v>1.6000000000000014</v>
      </c>
      <c r="AT55" s="40">
        <f t="shared" si="18"/>
        <v>1.5</v>
      </c>
      <c r="AU55" s="40">
        <f t="shared" si="18"/>
        <v>3.3000000000000007</v>
      </c>
      <c r="AV55" s="40" t="e" vm="1">
        <f t="shared" si="18"/>
        <v>#VALUE!</v>
      </c>
      <c r="AW55" s="40">
        <f t="shared" si="18"/>
        <v>1.3000000000000007</v>
      </c>
      <c r="AX55" s="40">
        <f t="shared" si="18"/>
        <v>1.9000000000000021</v>
      </c>
      <c r="AY55" s="40">
        <f t="shared" si="18"/>
        <v>1.3000000000000007</v>
      </c>
      <c r="AZ55" s="40" t="e" vm="1">
        <f t="shared" si="18"/>
        <v>#VALUE!</v>
      </c>
      <c r="BA55" s="40">
        <f t="shared" si="18"/>
        <v>2.5</v>
      </c>
      <c r="BB55" s="40">
        <f t="shared" si="18"/>
        <v>0.80000000000000071</v>
      </c>
      <c r="BC55" s="40">
        <f t="shared" si="18"/>
        <v>2.7000000000000028</v>
      </c>
      <c r="BD55" s="40">
        <f t="shared" si="18"/>
        <v>4.3999999999999986</v>
      </c>
      <c r="BE55" s="40">
        <f t="shared" si="18"/>
        <v>1.1999999999999993</v>
      </c>
      <c r="BF55" s="40">
        <f t="shared" si="18"/>
        <v>0.10000000000000142</v>
      </c>
      <c r="BG55" s="40">
        <f t="shared" si="18"/>
        <v>1.8999999999999986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937B-F24E-4D50-9C97-56020A1275EB}">
  <dimension ref="A1:BG54"/>
  <sheetViews>
    <sheetView topLeftCell="I1" zoomScale="234" zoomScaleNormal="234" workbookViewId="0">
      <pane ySplit="4" topLeftCell="A24" activePane="bottomLeft" state="frozen"/>
      <selection pane="bottomLeft" activeCell="AJ56" sqref="AJ56"/>
    </sheetView>
  </sheetViews>
  <sheetFormatPr defaultColWidth="16.7109375" defaultRowHeight="15"/>
  <cols>
    <col min="1" max="1" width="16.7109375" style="29"/>
    <col min="2" max="16384" width="16.7109375" style="2"/>
  </cols>
  <sheetData>
    <row r="1" spans="1:59" s="29" customFormat="1">
      <c r="A1" s="22" t="s">
        <v>0</v>
      </c>
      <c r="B1" s="23" t="s">
        <v>1</v>
      </c>
      <c r="C1" s="24" t="s">
        <v>2</v>
      </c>
      <c r="D1" s="25" t="s">
        <v>3</v>
      </c>
      <c r="E1" s="26" t="s">
        <v>4</v>
      </c>
      <c r="F1" s="27" t="s">
        <v>5</v>
      </c>
      <c r="G1" s="28" t="s">
        <v>6</v>
      </c>
      <c r="H1" s="23" t="s">
        <v>7</v>
      </c>
      <c r="I1" s="24" t="s">
        <v>8</v>
      </c>
      <c r="J1" s="25" t="s">
        <v>9</v>
      </c>
      <c r="K1" s="26" t="s">
        <v>10</v>
      </c>
      <c r="L1" s="27" t="s">
        <v>11</v>
      </c>
      <c r="M1" s="28" t="s">
        <v>12</v>
      </c>
      <c r="N1" s="23" t="s">
        <v>13</v>
      </c>
      <c r="O1" s="24" t="s">
        <v>14</v>
      </c>
      <c r="P1" s="25" t="s">
        <v>15</v>
      </c>
      <c r="Q1" s="26" t="s">
        <v>16</v>
      </c>
      <c r="R1" s="27" t="s">
        <v>17</v>
      </c>
      <c r="S1" s="28" t="s">
        <v>18</v>
      </c>
      <c r="T1" s="23" t="s">
        <v>19</v>
      </c>
      <c r="U1" s="24" t="s">
        <v>20</v>
      </c>
      <c r="V1" s="25" t="s">
        <v>21</v>
      </c>
      <c r="W1" s="26" t="s">
        <v>22</v>
      </c>
      <c r="X1" s="27" t="s">
        <v>23</v>
      </c>
      <c r="Y1" s="28" t="s">
        <v>24</v>
      </c>
      <c r="Z1" s="23" t="s">
        <v>25</v>
      </c>
      <c r="AA1" s="24" t="s">
        <v>26</v>
      </c>
      <c r="AB1" s="25" t="s">
        <v>27</v>
      </c>
      <c r="AC1" s="26" t="s">
        <v>28</v>
      </c>
      <c r="AD1" s="27" t="s">
        <v>29</v>
      </c>
      <c r="AE1" s="28" t="s">
        <v>30</v>
      </c>
      <c r="AF1" s="23" t="s">
        <v>31</v>
      </c>
      <c r="AG1" s="24" t="s">
        <v>32</v>
      </c>
      <c r="AH1" s="25" t="s">
        <v>33</v>
      </c>
      <c r="AI1" s="26" t="s">
        <v>34</v>
      </c>
      <c r="AJ1" s="27" t="s">
        <v>35</v>
      </c>
      <c r="AK1" s="28" t="s">
        <v>36</v>
      </c>
      <c r="AL1" s="23" t="s">
        <v>37</v>
      </c>
      <c r="AM1" s="25" t="s">
        <v>38</v>
      </c>
      <c r="AN1" s="26" t="s">
        <v>39</v>
      </c>
      <c r="AO1" s="28" t="s">
        <v>40</v>
      </c>
      <c r="AP1" s="23" t="s">
        <v>41</v>
      </c>
      <c r="AQ1" s="24" t="s">
        <v>42</v>
      </c>
      <c r="AR1" s="25" t="s">
        <v>43</v>
      </c>
      <c r="AS1" s="26" t="s">
        <v>44</v>
      </c>
      <c r="AT1" s="27" t="s">
        <v>45</v>
      </c>
      <c r="AU1" s="28" t="s">
        <v>46</v>
      </c>
      <c r="AV1" s="23" t="s">
        <v>47</v>
      </c>
      <c r="AW1" s="24" t="s">
        <v>48</v>
      </c>
      <c r="AX1" s="25" t="s">
        <v>49</v>
      </c>
      <c r="AY1" s="26" t="s">
        <v>50</v>
      </c>
      <c r="AZ1" s="27" t="s">
        <v>51</v>
      </c>
      <c r="BA1" s="28" t="s">
        <v>52</v>
      </c>
      <c r="BB1" s="23" t="s">
        <v>53</v>
      </c>
      <c r="BC1" s="24" t="s">
        <v>54</v>
      </c>
      <c r="BD1" s="25" t="s">
        <v>55</v>
      </c>
      <c r="BE1" s="26" t="s">
        <v>56</v>
      </c>
      <c r="BF1" s="27" t="s">
        <v>57</v>
      </c>
      <c r="BG1" s="28" t="s">
        <v>58</v>
      </c>
    </row>
    <row r="2" spans="1:59" hidden="1">
      <c r="A2" s="30" t="s">
        <v>59</v>
      </c>
      <c r="B2" s="3" t="s">
        <v>60</v>
      </c>
      <c r="C2" s="4" t="s">
        <v>60</v>
      </c>
      <c r="D2" s="5" t="s">
        <v>60</v>
      </c>
      <c r="E2" s="6" t="s">
        <v>60</v>
      </c>
      <c r="F2" s="1" t="s">
        <v>60</v>
      </c>
      <c r="G2" s="7" t="s">
        <v>60</v>
      </c>
      <c r="H2" s="3" t="s">
        <v>60</v>
      </c>
      <c r="I2" s="4" t="s">
        <v>60</v>
      </c>
      <c r="J2" s="5" t="s">
        <v>60</v>
      </c>
      <c r="K2" s="6" t="s">
        <v>60</v>
      </c>
      <c r="L2" s="1" t="s">
        <v>60</v>
      </c>
      <c r="M2" s="7" t="s">
        <v>60</v>
      </c>
      <c r="N2" s="3" t="s">
        <v>60</v>
      </c>
      <c r="O2" s="4" t="s">
        <v>60</v>
      </c>
      <c r="P2" s="5" t="s">
        <v>60</v>
      </c>
      <c r="Q2" s="6" t="s">
        <v>60</v>
      </c>
      <c r="R2" s="1" t="s">
        <v>60</v>
      </c>
      <c r="S2" s="7" t="s">
        <v>60</v>
      </c>
      <c r="T2" s="3" t="s">
        <v>60</v>
      </c>
      <c r="U2" s="4" t="s">
        <v>60</v>
      </c>
      <c r="V2" s="5" t="s">
        <v>60</v>
      </c>
      <c r="W2" s="6" t="s">
        <v>60</v>
      </c>
      <c r="X2" s="1" t="s">
        <v>60</v>
      </c>
      <c r="Y2" s="7" t="s">
        <v>60</v>
      </c>
      <c r="Z2" s="3" t="s">
        <v>60</v>
      </c>
      <c r="AA2" s="4" t="s">
        <v>60</v>
      </c>
      <c r="AB2" s="5" t="s">
        <v>60</v>
      </c>
      <c r="AC2" s="6" t="s">
        <v>60</v>
      </c>
      <c r="AD2" s="1" t="s">
        <v>60</v>
      </c>
      <c r="AE2" s="7" t="s">
        <v>60</v>
      </c>
      <c r="AF2" s="3" t="s">
        <v>60</v>
      </c>
      <c r="AG2" s="4" t="s">
        <v>60</v>
      </c>
      <c r="AH2" s="5" t="s">
        <v>60</v>
      </c>
      <c r="AI2" s="6" t="s">
        <v>60</v>
      </c>
      <c r="AJ2" s="1" t="s">
        <v>60</v>
      </c>
      <c r="AK2" s="7" t="s">
        <v>60</v>
      </c>
      <c r="AL2" s="3" t="s">
        <v>60</v>
      </c>
      <c r="AM2" s="5" t="s">
        <v>60</v>
      </c>
      <c r="AN2" s="6" t="s">
        <v>60</v>
      </c>
      <c r="AO2" s="7" t="s">
        <v>60</v>
      </c>
      <c r="AP2" s="3" t="s">
        <v>60</v>
      </c>
      <c r="AQ2" s="4" t="s">
        <v>60</v>
      </c>
      <c r="AR2" s="5" t="s">
        <v>60</v>
      </c>
      <c r="AS2" s="6" t="s">
        <v>60</v>
      </c>
      <c r="AT2" s="1" t="s">
        <v>60</v>
      </c>
      <c r="AU2" s="7" t="s">
        <v>60</v>
      </c>
      <c r="AV2" s="3" t="s">
        <v>60</v>
      </c>
      <c r="AW2" s="4" t="s">
        <v>60</v>
      </c>
      <c r="AX2" s="5" t="s">
        <v>60</v>
      </c>
      <c r="AY2" s="6" t="s">
        <v>60</v>
      </c>
      <c r="AZ2" s="1" t="s">
        <v>60</v>
      </c>
      <c r="BA2" s="7" t="s">
        <v>60</v>
      </c>
      <c r="BB2" s="3" t="s">
        <v>60</v>
      </c>
      <c r="BC2" s="4" t="s">
        <v>60</v>
      </c>
      <c r="BD2" s="5" t="s">
        <v>60</v>
      </c>
      <c r="BE2" s="6" t="s">
        <v>60</v>
      </c>
      <c r="BF2" s="1" t="s">
        <v>60</v>
      </c>
      <c r="BG2" s="7" t="s">
        <v>60</v>
      </c>
    </row>
    <row r="3" spans="1:59" hidden="1">
      <c r="A3" s="30" t="s">
        <v>61</v>
      </c>
      <c r="B3" s="8">
        <v>45888</v>
      </c>
      <c r="C3" s="9">
        <v>45888</v>
      </c>
      <c r="D3" s="10">
        <v>45888</v>
      </c>
      <c r="E3" s="11">
        <v>45889</v>
      </c>
      <c r="F3" s="12">
        <v>45889</v>
      </c>
      <c r="G3" s="13">
        <v>45889</v>
      </c>
      <c r="H3" s="8">
        <v>45889</v>
      </c>
      <c r="I3" s="9">
        <v>45889</v>
      </c>
      <c r="J3" s="10">
        <v>45889</v>
      </c>
      <c r="K3" s="11">
        <v>45889</v>
      </c>
      <c r="L3" s="12">
        <v>45889</v>
      </c>
      <c r="M3" s="13">
        <v>45889</v>
      </c>
      <c r="N3" s="8">
        <v>45889</v>
      </c>
      <c r="O3" s="9">
        <v>45889</v>
      </c>
      <c r="P3" s="10">
        <v>45889</v>
      </c>
      <c r="Q3" s="11">
        <v>45889</v>
      </c>
      <c r="R3" s="12">
        <v>45889</v>
      </c>
      <c r="S3" s="13">
        <v>45889</v>
      </c>
      <c r="T3" s="8">
        <v>45888</v>
      </c>
      <c r="U3" s="9">
        <v>45889</v>
      </c>
      <c r="V3" s="10">
        <v>45889</v>
      </c>
      <c r="W3" s="11">
        <v>45889</v>
      </c>
      <c r="X3" s="12">
        <v>45889</v>
      </c>
      <c r="Y3" s="13">
        <v>45889</v>
      </c>
      <c r="Z3" s="8">
        <v>45889</v>
      </c>
      <c r="AA3" s="9">
        <v>45889</v>
      </c>
      <c r="AB3" s="10">
        <v>45889</v>
      </c>
      <c r="AC3" s="11">
        <v>45891</v>
      </c>
      <c r="AD3" s="12">
        <v>45891</v>
      </c>
      <c r="AE3" s="13">
        <v>45891</v>
      </c>
      <c r="AF3" s="8">
        <v>45889</v>
      </c>
      <c r="AG3" s="9">
        <v>45889</v>
      </c>
      <c r="AH3" s="10">
        <v>45889</v>
      </c>
      <c r="AI3" s="11">
        <v>45889</v>
      </c>
      <c r="AJ3" s="12">
        <v>45889</v>
      </c>
      <c r="AK3" s="13">
        <v>45889</v>
      </c>
      <c r="AL3" s="8">
        <v>45892</v>
      </c>
      <c r="AM3" s="10">
        <v>45892</v>
      </c>
      <c r="AN3" s="11">
        <v>45888</v>
      </c>
      <c r="AO3" s="13">
        <v>45888</v>
      </c>
      <c r="AP3" s="8">
        <v>45891</v>
      </c>
      <c r="AQ3" s="9">
        <v>45891</v>
      </c>
      <c r="AR3" s="10">
        <v>45891</v>
      </c>
      <c r="AS3" s="11">
        <v>45889</v>
      </c>
      <c r="AT3" s="12">
        <v>45889</v>
      </c>
      <c r="AU3" s="13">
        <v>45889</v>
      </c>
      <c r="AV3" s="8">
        <v>45889</v>
      </c>
      <c r="AW3" s="9">
        <v>45889</v>
      </c>
      <c r="AX3" s="10">
        <v>45889</v>
      </c>
      <c r="AY3" s="11">
        <v>45889</v>
      </c>
      <c r="AZ3" s="12">
        <v>45889</v>
      </c>
      <c r="BA3" s="13">
        <v>45889</v>
      </c>
      <c r="BB3" s="8">
        <v>45888</v>
      </c>
      <c r="BC3" s="9">
        <v>45888</v>
      </c>
      <c r="BD3" s="10">
        <v>45888</v>
      </c>
      <c r="BE3" s="11">
        <v>45889</v>
      </c>
      <c r="BF3" s="12">
        <v>45889</v>
      </c>
      <c r="BG3" s="13">
        <v>45889</v>
      </c>
    </row>
    <row r="4" spans="1:59" hidden="1">
      <c r="A4" s="30" t="s">
        <v>62</v>
      </c>
      <c r="B4" s="3" t="s">
        <v>63</v>
      </c>
      <c r="C4" s="4" t="s">
        <v>63</v>
      </c>
      <c r="D4" s="5" t="s">
        <v>63</v>
      </c>
      <c r="E4" s="6" t="s">
        <v>63</v>
      </c>
      <c r="F4" s="1" t="s">
        <v>63</v>
      </c>
      <c r="G4" s="7" t="s">
        <v>63</v>
      </c>
      <c r="H4" s="3" t="s">
        <v>63</v>
      </c>
      <c r="I4" s="4" t="s">
        <v>63</v>
      </c>
      <c r="J4" s="5" t="s">
        <v>63</v>
      </c>
      <c r="K4" s="6" t="s">
        <v>63</v>
      </c>
      <c r="L4" s="1" t="s">
        <v>63</v>
      </c>
      <c r="M4" s="7" t="s">
        <v>63</v>
      </c>
      <c r="N4" s="3" t="s">
        <v>63</v>
      </c>
      <c r="O4" s="4" t="s">
        <v>63</v>
      </c>
      <c r="P4" s="5" t="s">
        <v>63</v>
      </c>
      <c r="Q4" s="6" t="s">
        <v>63</v>
      </c>
      <c r="R4" s="1" t="s">
        <v>63</v>
      </c>
      <c r="S4" s="7" t="s">
        <v>63</v>
      </c>
      <c r="T4" s="3" t="s">
        <v>63</v>
      </c>
      <c r="U4" s="4" t="s">
        <v>63</v>
      </c>
      <c r="V4" s="5" t="s">
        <v>63</v>
      </c>
      <c r="W4" s="6" t="s">
        <v>63</v>
      </c>
      <c r="X4" s="1" t="s">
        <v>63</v>
      </c>
      <c r="Y4" s="7" t="s">
        <v>63</v>
      </c>
      <c r="Z4" s="3" t="s">
        <v>63</v>
      </c>
      <c r="AA4" s="4" t="s">
        <v>63</v>
      </c>
      <c r="AB4" s="5" t="s">
        <v>63</v>
      </c>
      <c r="AC4" s="6" t="s">
        <v>63</v>
      </c>
      <c r="AD4" s="1" t="s">
        <v>63</v>
      </c>
      <c r="AE4" s="7" t="s">
        <v>63</v>
      </c>
      <c r="AF4" s="3" t="s">
        <v>63</v>
      </c>
      <c r="AG4" s="4" t="s">
        <v>63</v>
      </c>
      <c r="AH4" s="5" t="s">
        <v>63</v>
      </c>
      <c r="AI4" s="6" t="s">
        <v>63</v>
      </c>
      <c r="AJ4" s="1" t="s">
        <v>63</v>
      </c>
      <c r="AK4" s="7" t="s">
        <v>63</v>
      </c>
      <c r="AL4" s="3" t="s">
        <v>63</v>
      </c>
      <c r="AM4" s="5" t="s">
        <v>63</v>
      </c>
      <c r="AN4" s="6" t="s">
        <v>63</v>
      </c>
      <c r="AO4" s="7" t="s">
        <v>63</v>
      </c>
      <c r="AP4" s="3" t="s">
        <v>63</v>
      </c>
      <c r="AQ4" s="4" t="s">
        <v>63</v>
      </c>
      <c r="AR4" s="5" t="s">
        <v>63</v>
      </c>
      <c r="AS4" s="6" t="s">
        <v>63</v>
      </c>
      <c r="AT4" s="1" t="s">
        <v>63</v>
      </c>
      <c r="AU4" s="7" t="s">
        <v>63</v>
      </c>
      <c r="AV4" s="3" t="s">
        <v>63</v>
      </c>
      <c r="AW4" s="4" t="s">
        <v>63</v>
      </c>
      <c r="AX4" s="5" t="s">
        <v>63</v>
      </c>
      <c r="AY4" s="6" t="s">
        <v>63</v>
      </c>
      <c r="AZ4" s="1" t="s">
        <v>63</v>
      </c>
      <c r="BA4" s="7" t="s">
        <v>63</v>
      </c>
      <c r="BB4" s="3" t="s">
        <v>63</v>
      </c>
      <c r="BC4" s="4" t="s">
        <v>63</v>
      </c>
      <c r="BD4" s="5" t="s">
        <v>63</v>
      </c>
      <c r="BE4" s="6" t="s">
        <v>63</v>
      </c>
      <c r="BF4" s="1" t="s">
        <v>63</v>
      </c>
      <c r="BG4" s="7" t="s">
        <v>63</v>
      </c>
    </row>
    <row r="5" spans="1:59">
      <c r="A5" s="30" t="s">
        <v>64</v>
      </c>
      <c r="B5" s="3" t="s">
        <v>65</v>
      </c>
      <c r="C5" s="4" t="s">
        <v>65</v>
      </c>
      <c r="D5" s="5" t="s">
        <v>65</v>
      </c>
      <c r="E5" s="6" t="s">
        <v>66</v>
      </c>
      <c r="F5" s="1" t="s">
        <v>66</v>
      </c>
      <c r="G5" s="7" t="s">
        <v>66</v>
      </c>
      <c r="H5" s="3" t="s">
        <v>67</v>
      </c>
      <c r="I5" s="4" t="s">
        <v>67</v>
      </c>
      <c r="J5" s="5" t="s">
        <v>67</v>
      </c>
      <c r="K5" s="6" t="s">
        <v>68</v>
      </c>
      <c r="L5" s="1" t="s">
        <v>68</v>
      </c>
      <c r="M5" s="7" t="s">
        <v>68</v>
      </c>
      <c r="N5" s="3" t="s">
        <v>69</v>
      </c>
      <c r="O5" s="4" t="s">
        <v>69</v>
      </c>
      <c r="P5" s="5" t="s">
        <v>69</v>
      </c>
      <c r="Q5" s="6" t="s">
        <v>70</v>
      </c>
      <c r="R5" s="1" t="s">
        <v>70</v>
      </c>
      <c r="S5" s="7" t="s">
        <v>70</v>
      </c>
      <c r="T5" s="3" t="s">
        <v>67</v>
      </c>
      <c r="U5" s="4" t="s">
        <v>68</v>
      </c>
      <c r="V5" s="5" t="s">
        <v>69</v>
      </c>
      <c r="W5" s="6" t="s">
        <v>68</v>
      </c>
      <c r="X5" s="1" t="s">
        <v>69</v>
      </c>
      <c r="Y5" s="7" t="s">
        <v>70</v>
      </c>
      <c r="Z5" s="3" t="s">
        <v>66</v>
      </c>
      <c r="AA5" s="4" t="s">
        <v>66</v>
      </c>
      <c r="AB5" s="5" t="s">
        <v>66</v>
      </c>
      <c r="AC5" s="6" t="s">
        <v>71</v>
      </c>
      <c r="AD5" s="1" t="s">
        <v>71</v>
      </c>
      <c r="AE5" s="7" t="s">
        <v>71</v>
      </c>
      <c r="AF5" s="3" t="s">
        <v>72</v>
      </c>
      <c r="AG5" s="4" t="s">
        <v>72</v>
      </c>
      <c r="AH5" s="5" t="s">
        <v>72</v>
      </c>
      <c r="AI5" s="6" t="s">
        <v>73</v>
      </c>
      <c r="AJ5" s="1" t="s">
        <v>73</v>
      </c>
      <c r="AK5" s="7" t="s">
        <v>73</v>
      </c>
      <c r="AL5" s="3" t="s">
        <v>74</v>
      </c>
      <c r="AM5" s="5" t="s">
        <v>74</v>
      </c>
      <c r="AN5" s="6" t="s">
        <v>73</v>
      </c>
      <c r="AO5" s="7" t="s">
        <v>73</v>
      </c>
      <c r="AP5" s="3" t="s">
        <v>71</v>
      </c>
      <c r="AQ5" s="4" t="s">
        <v>71</v>
      </c>
      <c r="AR5" s="5" t="s">
        <v>71</v>
      </c>
      <c r="AS5" s="6" t="s">
        <v>70</v>
      </c>
      <c r="AT5" s="1" t="s">
        <v>70</v>
      </c>
      <c r="AU5" s="7" t="s">
        <v>70</v>
      </c>
      <c r="AV5" s="3" t="s">
        <v>69</v>
      </c>
      <c r="AW5" s="4" t="s">
        <v>69</v>
      </c>
      <c r="AX5" s="5" t="s">
        <v>69</v>
      </c>
      <c r="AY5" s="6" t="s">
        <v>68</v>
      </c>
      <c r="AZ5" s="1" t="s">
        <v>68</v>
      </c>
      <c r="BA5" s="7" t="s">
        <v>68</v>
      </c>
      <c r="BB5" s="3" t="s">
        <v>74</v>
      </c>
      <c r="BC5" s="4" t="s">
        <v>74</v>
      </c>
      <c r="BD5" s="5" t="s">
        <v>74</v>
      </c>
      <c r="BE5" s="6" t="s">
        <v>66</v>
      </c>
      <c r="BF5" s="1" t="s">
        <v>66</v>
      </c>
      <c r="BG5" s="7" t="s">
        <v>66</v>
      </c>
    </row>
    <row r="6" spans="1:59" hidden="1">
      <c r="A6" s="30" t="s">
        <v>75</v>
      </c>
      <c r="B6" s="3" t="s">
        <v>76</v>
      </c>
      <c r="C6" s="4" t="s">
        <v>76</v>
      </c>
      <c r="D6" s="5" t="s">
        <v>76</v>
      </c>
      <c r="E6" s="6" t="s">
        <v>77</v>
      </c>
      <c r="F6" s="1" t="s">
        <v>77</v>
      </c>
      <c r="G6" s="7" t="s">
        <v>77</v>
      </c>
      <c r="H6" s="3" t="s">
        <v>78</v>
      </c>
      <c r="I6" s="4" t="s">
        <v>78</v>
      </c>
      <c r="J6" s="5" t="s">
        <v>78</v>
      </c>
      <c r="K6" s="6" t="s">
        <v>79</v>
      </c>
      <c r="L6" s="1" t="s">
        <v>79</v>
      </c>
      <c r="M6" s="7" t="s">
        <v>79</v>
      </c>
      <c r="N6" s="3" t="s">
        <v>80</v>
      </c>
      <c r="O6" s="4" t="s">
        <v>80</v>
      </c>
      <c r="P6" s="5" t="s">
        <v>80</v>
      </c>
      <c r="Q6" s="6" t="s">
        <v>81</v>
      </c>
      <c r="R6" s="1" t="s">
        <v>81</v>
      </c>
      <c r="S6" s="7" t="s">
        <v>81</v>
      </c>
      <c r="T6" s="3" t="s">
        <v>78</v>
      </c>
      <c r="U6" s="4" t="s">
        <v>79</v>
      </c>
      <c r="V6" s="5" t="s">
        <v>80</v>
      </c>
      <c r="W6" s="6" t="s">
        <v>79</v>
      </c>
      <c r="X6" s="1" t="s">
        <v>80</v>
      </c>
      <c r="Y6" s="7" t="s">
        <v>81</v>
      </c>
      <c r="Z6" s="3" t="s">
        <v>77</v>
      </c>
      <c r="AA6" s="4" t="s">
        <v>77</v>
      </c>
      <c r="AB6" s="5" t="s">
        <v>77</v>
      </c>
      <c r="AC6" s="6" t="s">
        <v>82</v>
      </c>
      <c r="AD6" s="1" t="s">
        <v>82</v>
      </c>
      <c r="AE6" s="7" t="s">
        <v>82</v>
      </c>
      <c r="AF6" s="3" t="s">
        <v>83</v>
      </c>
      <c r="AG6" s="4" t="s">
        <v>83</v>
      </c>
      <c r="AH6" s="5" t="s">
        <v>83</v>
      </c>
      <c r="AI6" s="6" t="s">
        <v>84</v>
      </c>
      <c r="AJ6" s="1" t="s">
        <v>84</v>
      </c>
      <c r="AK6" s="7" t="s">
        <v>84</v>
      </c>
      <c r="AL6" s="3" t="s">
        <v>85</v>
      </c>
      <c r="AM6" s="5" t="s">
        <v>85</v>
      </c>
      <c r="AN6" s="6" t="s">
        <v>84</v>
      </c>
      <c r="AO6" s="7" t="s">
        <v>84</v>
      </c>
      <c r="AP6" s="3" t="s">
        <v>82</v>
      </c>
      <c r="AQ6" s="4" t="s">
        <v>82</v>
      </c>
      <c r="AR6" s="5" t="s">
        <v>82</v>
      </c>
      <c r="AS6" s="6" t="s">
        <v>81</v>
      </c>
      <c r="AT6" s="1" t="s">
        <v>81</v>
      </c>
      <c r="AU6" s="7" t="s">
        <v>81</v>
      </c>
      <c r="AV6" s="3" t="s">
        <v>80</v>
      </c>
      <c r="AW6" s="4" t="s">
        <v>80</v>
      </c>
      <c r="AX6" s="5" t="s">
        <v>80</v>
      </c>
      <c r="AY6" s="6" t="s">
        <v>79</v>
      </c>
      <c r="AZ6" s="1" t="s">
        <v>79</v>
      </c>
      <c r="BA6" s="7" t="s">
        <v>79</v>
      </c>
      <c r="BB6" s="3" t="s">
        <v>85</v>
      </c>
      <c r="BC6" s="4" t="s">
        <v>85</v>
      </c>
      <c r="BD6" s="5" t="s">
        <v>85</v>
      </c>
      <c r="BE6" s="6" t="s">
        <v>77</v>
      </c>
      <c r="BF6" s="1" t="s">
        <v>77</v>
      </c>
      <c r="BG6" s="7" t="s">
        <v>77</v>
      </c>
    </row>
    <row r="7" spans="1:59" hidden="1">
      <c r="A7" s="30" t="s">
        <v>86</v>
      </c>
      <c r="B7" s="3" t="s">
        <v>87</v>
      </c>
      <c r="C7" s="4" t="s">
        <v>87</v>
      </c>
      <c r="D7" s="5" t="s">
        <v>87</v>
      </c>
      <c r="E7" s="6" t="s">
        <v>88</v>
      </c>
      <c r="F7" s="1" t="s">
        <v>88</v>
      </c>
      <c r="G7" s="7" t="s">
        <v>88</v>
      </c>
      <c r="H7" s="3" t="s">
        <v>89</v>
      </c>
      <c r="I7" s="4" t="s">
        <v>89</v>
      </c>
      <c r="J7" s="5" t="s">
        <v>89</v>
      </c>
      <c r="K7" s="6" t="s">
        <v>90</v>
      </c>
      <c r="L7" s="1" t="s">
        <v>90</v>
      </c>
      <c r="M7" s="7" t="s">
        <v>90</v>
      </c>
      <c r="N7" s="3" t="s">
        <v>91</v>
      </c>
      <c r="O7" s="4" t="s">
        <v>91</v>
      </c>
      <c r="P7" s="5" t="s">
        <v>91</v>
      </c>
      <c r="Q7" s="6" t="s">
        <v>92</v>
      </c>
      <c r="R7" s="1" t="s">
        <v>92</v>
      </c>
      <c r="S7" s="7" t="s">
        <v>92</v>
      </c>
      <c r="T7" s="3" t="s">
        <v>89</v>
      </c>
      <c r="U7" s="4" t="s">
        <v>90</v>
      </c>
      <c r="V7" s="5" t="s">
        <v>91</v>
      </c>
      <c r="W7" s="6" t="s">
        <v>90</v>
      </c>
      <c r="X7" s="1" t="s">
        <v>91</v>
      </c>
      <c r="Y7" s="7" t="s">
        <v>92</v>
      </c>
      <c r="Z7" s="3" t="s">
        <v>88</v>
      </c>
      <c r="AA7" s="4" t="s">
        <v>88</v>
      </c>
      <c r="AB7" s="5" t="s">
        <v>88</v>
      </c>
      <c r="AC7" s="6" t="s">
        <v>93</v>
      </c>
      <c r="AD7" s="1" t="s">
        <v>93</v>
      </c>
      <c r="AE7" s="7" t="s">
        <v>93</v>
      </c>
      <c r="AF7" s="3" t="s">
        <v>94</v>
      </c>
      <c r="AG7" s="4" t="s">
        <v>94</v>
      </c>
      <c r="AH7" s="5" t="s">
        <v>94</v>
      </c>
      <c r="AI7" s="6" t="s">
        <v>95</v>
      </c>
      <c r="AJ7" s="1" t="s">
        <v>95</v>
      </c>
      <c r="AK7" s="7" t="s">
        <v>95</v>
      </c>
      <c r="AL7" s="3" t="s">
        <v>96</v>
      </c>
      <c r="AM7" s="5" t="s">
        <v>96</v>
      </c>
      <c r="AN7" s="6" t="s">
        <v>95</v>
      </c>
      <c r="AO7" s="7" t="s">
        <v>95</v>
      </c>
      <c r="AP7" s="3" t="s">
        <v>93</v>
      </c>
      <c r="AQ7" s="4" t="s">
        <v>93</v>
      </c>
      <c r="AR7" s="5" t="s">
        <v>93</v>
      </c>
      <c r="AS7" s="6" t="s">
        <v>92</v>
      </c>
      <c r="AT7" s="1" t="s">
        <v>92</v>
      </c>
      <c r="AU7" s="7" t="s">
        <v>92</v>
      </c>
      <c r="AV7" s="3" t="s">
        <v>91</v>
      </c>
      <c r="AW7" s="4" t="s">
        <v>91</v>
      </c>
      <c r="AX7" s="5" t="s">
        <v>91</v>
      </c>
      <c r="AY7" s="6" t="s">
        <v>90</v>
      </c>
      <c r="AZ7" s="1" t="s">
        <v>90</v>
      </c>
      <c r="BA7" s="7" t="s">
        <v>90</v>
      </c>
      <c r="BB7" s="3" t="s">
        <v>96</v>
      </c>
      <c r="BC7" s="4" t="s">
        <v>96</v>
      </c>
      <c r="BD7" s="5" t="s">
        <v>96</v>
      </c>
      <c r="BE7" s="6" t="s">
        <v>88</v>
      </c>
      <c r="BF7" s="1" t="s">
        <v>88</v>
      </c>
      <c r="BG7" s="7" t="s">
        <v>88</v>
      </c>
    </row>
    <row r="8" spans="1:59" hidden="1">
      <c r="A8" s="30" t="s">
        <v>97</v>
      </c>
      <c r="B8" s="3" t="s">
        <v>98</v>
      </c>
      <c r="C8" s="4" t="s">
        <v>98</v>
      </c>
      <c r="D8" s="5" t="s">
        <v>98</v>
      </c>
      <c r="E8" s="6" t="s">
        <v>99</v>
      </c>
      <c r="F8" s="1" t="s">
        <v>99</v>
      </c>
      <c r="G8" s="7" t="s">
        <v>99</v>
      </c>
      <c r="H8" s="3" t="s">
        <v>100</v>
      </c>
      <c r="I8" s="4" t="s">
        <v>100</v>
      </c>
      <c r="J8" s="5" t="s">
        <v>100</v>
      </c>
      <c r="K8" s="6" t="s">
        <v>101</v>
      </c>
      <c r="L8" s="1" t="s">
        <v>101</v>
      </c>
      <c r="M8" s="7" t="s">
        <v>101</v>
      </c>
      <c r="N8" s="3" t="s">
        <v>102</v>
      </c>
      <c r="O8" s="4" t="s">
        <v>102</v>
      </c>
      <c r="P8" s="5" t="s">
        <v>102</v>
      </c>
      <c r="Q8" s="6" t="s">
        <v>103</v>
      </c>
      <c r="R8" s="1" t="s">
        <v>103</v>
      </c>
      <c r="S8" s="7" t="s">
        <v>103</v>
      </c>
      <c r="T8" s="3" t="s">
        <v>100</v>
      </c>
      <c r="U8" s="4" t="s">
        <v>101</v>
      </c>
      <c r="V8" s="5" t="s">
        <v>102</v>
      </c>
      <c r="W8" s="6" t="s">
        <v>101</v>
      </c>
      <c r="X8" s="1" t="s">
        <v>102</v>
      </c>
      <c r="Y8" s="7" t="s">
        <v>103</v>
      </c>
      <c r="Z8" s="3" t="s">
        <v>99</v>
      </c>
      <c r="AA8" s="4" t="s">
        <v>99</v>
      </c>
      <c r="AB8" s="5" t="s">
        <v>99</v>
      </c>
      <c r="AC8" s="6" t="s">
        <v>104</v>
      </c>
      <c r="AD8" s="1" t="s">
        <v>104</v>
      </c>
      <c r="AE8" s="7" t="s">
        <v>104</v>
      </c>
      <c r="AF8" s="3" t="s">
        <v>105</v>
      </c>
      <c r="AG8" s="4" t="s">
        <v>105</v>
      </c>
      <c r="AH8" s="5" t="s">
        <v>105</v>
      </c>
      <c r="AI8" s="6" t="s">
        <v>106</v>
      </c>
      <c r="AJ8" s="1" t="s">
        <v>106</v>
      </c>
      <c r="AK8" s="7" t="s">
        <v>106</v>
      </c>
      <c r="AL8" s="3" t="s">
        <v>107</v>
      </c>
      <c r="AM8" s="5" t="s">
        <v>107</v>
      </c>
      <c r="AN8" s="6" t="s">
        <v>106</v>
      </c>
      <c r="AO8" s="7" t="s">
        <v>106</v>
      </c>
      <c r="AP8" s="3" t="s">
        <v>104</v>
      </c>
      <c r="AQ8" s="4" t="s">
        <v>104</v>
      </c>
      <c r="AR8" s="5" t="s">
        <v>104</v>
      </c>
      <c r="AS8" s="6" t="s">
        <v>103</v>
      </c>
      <c r="AT8" s="1" t="s">
        <v>103</v>
      </c>
      <c r="AU8" s="7" t="s">
        <v>103</v>
      </c>
      <c r="AV8" s="3" t="s">
        <v>102</v>
      </c>
      <c r="AW8" s="4" t="s">
        <v>102</v>
      </c>
      <c r="AX8" s="5" t="s">
        <v>102</v>
      </c>
      <c r="AY8" s="6" t="s">
        <v>101</v>
      </c>
      <c r="AZ8" s="1" t="s">
        <v>101</v>
      </c>
      <c r="BA8" s="7" t="s">
        <v>101</v>
      </c>
      <c r="BB8" s="3" t="s">
        <v>107</v>
      </c>
      <c r="BC8" s="4" t="s">
        <v>107</v>
      </c>
      <c r="BD8" s="5" t="s">
        <v>107</v>
      </c>
      <c r="BE8" s="6" t="s">
        <v>99</v>
      </c>
      <c r="BF8" s="1" t="s">
        <v>99</v>
      </c>
      <c r="BG8" s="7" t="s">
        <v>99</v>
      </c>
    </row>
    <row r="9" spans="1:59">
      <c r="A9" s="30" t="s">
        <v>108</v>
      </c>
      <c r="B9" s="3" t="s">
        <v>109</v>
      </c>
      <c r="C9" s="4" t="s">
        <v>109</v>
      </c>
      <c r="D9" s="5" t="s">
        <v>109</v>
      </c>
      <c r="E9" s="6" t="s">
        <v>110</v>
      </c>
      <c r="F9" s="1" t="s">
        <v>110</v>
      </c>
      <c r="G9" s="7" t="s">
        <v>110</v>
      </c>
      <c r="H9" s="3" t="s">
        <v>111</v>
      </c>
      <c r="I9" s="4" t="s">
        <v>111</v>
      </c>
      <c r="J9" s="5" t="s">
        <v>111</v>
      </c>
      <c r="K9" s="6" t="s">
        <v>112</v>
      </c>
      <c r="L9" s="1" t="s">
        <v>112</v>
      </c>
      <c r="M9" s="7" t="s">
        <v>112</v>
      </c>
      <c r="N9" s="3" t="s">
        <v>113</v>
      </c>
      <c r="O9" s="4" t="s">
        <v>113</v>
      </c>
      <c r="P9" s="5" t="s">
        <v>113</v>
      </c>
      <c r="Q9" s="6" t="s">
        <v>114</v>
      </c>
      <c r="R9" s="1" t="s">
        <v>114</v>
      </c>
      <c r="S9" s="7" t="s">
        <v>114</v>
      </c>
      <c r="T9" s="3" t="s">
        <v>115</v>
      </c>
      <c r="U9" s="4" t="s">
        <v>115</v>
      </c>
      <c r="V9" s="5" t="s">
        <v>115</v>
      </c>
      <c r="W9" s="6" t="s">
        <v>116</v>
      </c>
      <c r="X9" s="1" t="s">
        <v>116</v>
      </c>
      <c r="Y9" s="7" t="s">
        <v>116</v>
      </c>
      <c r="Z9" s="3" t="s">
        <v>117</v>
      </c>
      <c r="AA9" s="4" t="s">
        <v>117</v>
      </c>
      <c r="AB9" s="5" t="s">
        <v>117</v>
      </c>
      <c r="AC9" s="6" t="s">
        <v>118</v>
      </c>
      <c r="AD9" s="1" t="s">
        <v>118</v>
      </c>
      <c r="AE9" s="7" t="s">
        <v>118</v>
      </c>
      <c r="AF9" s="3" t="s">
        <v>119</v>
      </c>
      <c r="AG9" s="4" t="s">
        <v>119</v>
      </c>
      <c r="AH9" s="5" t="s">
        <v>119</v>
      </c>
      <c r="AI9" s="6" t="s">
        <v>120</v>
      </c>
      <c r="AJ9" s="1" t="s">
        <v>120</v>
      </c>
      <c r="AK9" s="7" t="s">
        <v>120</v>
      </c>
      <c r="AL9" s="3" t="s">
        <v>121</v>
      </c>
      <c r="AM9" s="5" t="s">
        <v>121</v>
      </c>
      <c r="AN9" s="6" t="s">
        <v>122</v>
      </c>
      <c r="AO9" s="7" t="s">
        <v>122</v>
      </c>
      <c r="AP9" s="3" t="s">
        <v>123</v>
      </c>
      <c r="AQ9" s="4" t="s">
        <v>123</v>
      </c>
      <c r="AR9" s="5" t="s">
        <v>123</v>
      </c>
      <c r="AS9" s="6" t="s">
        <v>124</v>
      </c>
      <c r="AT9" s="1" t="s">
        <v>124</v>
      </c>
      <c r="AU9" s="7" t="s">
        <v>124</v>
      </c>
      <c r="AV9" s="3" t="s">
        <v>125</v>
      </c>
      <c r="AW9" s="4" t="s">
        <v>125</v>
      </c>
      <c r="AX9" s="5" t="s">
        <v>125</v>
      </c>
      <c r="AY9" s="6" t="s">
        <v>126</v>
      </c>
      <c r="AZ9" s="1" t="s">
        <v>126</v>
      </c>
      <c r="BA9" s="7" t="s">
        <v>126</v>
      </c>
      <c r="BB9" s="3" t="s">
        <v>127</v>
      </c>
      <c r="BC9" s="4" t="s">
        <v>127</v>
      </c>
      <c r="BD9" s="5" t="s">
        <v>127</v>
      </c>
      <c r="BE9" s="6" t="s">
        <v>128</v>
      </c>
      <c r="BF9" s="1" t="s">
        <v>128</v>
      </c>
      <c r="BG9" s="7" t="s">
        <v>128</v>
      </c>
    </row>
    <row r="10" spans="1:59">
      <c r="A10" s="30" t="s">
        <v>129</v>
      </c>
      <c r="B10" s="3" t="s">
        <v>130</v>
      </c>
      <c r="C10" s="4" t="s">
        <v>130</v>
      </c>
      <c r="D10" s="5" t="s">
        <v>130</v>
      </c>
      <c r="E10" s="6" t="s">
        <v>131</v>
      </c>
      <c r="F10" s="1" t="s">
        <v>131</v>
      </c>
      <c r="G10" s="7" t="s">
        <v>131</v>
      </c>
      <c r="H10" s="3" t="s">
        <v>132</v>
      </c>
      <c r="I10" s="4" t="s">
        <v>132</v>
      </c>
      <c r="J10" s="5" t="s">
        <v>132</v>
      </c>
      <c r="K10" s="6" t="s">
        <v>133</v>
      </c>
      <c r="L10" s="1" t="s">
        <v>133</v>
      </c>
      <c r="M10" s="7" t="s">
        <v>133</v>
      </c>
      <c r="N10" s="3" t="s">
        <v>134</v>
      </c>
      <c r="O10" s="4" t="s">
        <v>134</v>
      </c>
      <c r="P10" s="5" t="s">
        <v>134</v>
      </c>
      <c r="Q10" s="6" t="s">
        <v>135</v>
      </c>
      <c r="R10" s="1" t="s">
        <v>135</v>
      </c>
      <c r="S10" s="7" t="s">
        <v>135</v>
      </c>
      <c r="T10" s="3" t="s">
        <v>136</v>
      </c>
      <c r="U10" s="4" t="s">
        <v>136</v>
      </c>
      <c r="V10" s="5" t="s">
        <v>136</v>
      </c>
      <c r="W10" s="6" t="s">
        <v>137</v>
      </c>
      <c r="X10" s="1" t="s">
        <v>137</v>
      </c>
      <c r="Y10" s="7" t="s">
        <v>137</v>
      </c>
      <c r="Z10" s="3" t="s">
        <v>138</v>
      </c>
      <c r="AA10" s="4" t="s">
        <v>138</v>
      </c>
      <c r="AB10" s="5" t="s">
        <v>138</v>
      </c>
      <c r="AC10" s="6" t="s">
        <v>139</v>
      </c>
      <c r="AD10" s="1" t="s">
        <v>139</v>
      </c>
      <c r="AE10" s="7" t="s">
        <v>139</v>
      </c>
      <c r="AF10" s="3" t="s">
        <v>140</v>
      </c>
      <c r="AG10" s="4" t="s">
        <v>140</v>
      </c>
      <c r="AH10" s="5" t="s">
        <v>140</v>
      </c>
      <c r="AI10" s="6" t="s">
        <v>141</v>
      </c>
      <c r="AJ10" s="1" t="s">
        <v>141</v>
      </c>
      <c r="AK10" s="7" t="s">
        <v>141</v>
      </c>
      <c r="AL10" s="3" t="s">
        <v>142</v>
      </c>
      <c r="AM10" s="5" t="s">
        <v>142</v>
      </c>
      <c r="AN10" s="6" t="s">
        <v>143</v>
      </c>
      <c r="AO10" s="7" t="s">
        <v>143</v>
      </c>
      <c r="AP10" s="3" t="s">
        <v>144</v>
      </c>
      <c r="AQ10" s="4" t="s">
        <v>144</v>
      </c>
      <c r="AR10" s="5" t="s">
        <v>144</v>
      </c>
      <c r="AS10" s="6" t="s">
        <v>145</v>
      </c>
      <c r="AT10" s="1" t="s">
        <v>145</v>
      </c>
      <c r="AU10" s="7" t="s">
        <v>145</v>
      </c>
      <c r="AV10" s="3" t="s">
        <v>146</v>
      </c>
      <c r="AW10" s="4" t="s">
        <v>146</v>
      </c>
      <c r="AX10" s="5" t="s">
        <v>146</v>
      </c>
      <c r="AY10" s="6" t="s">
        <v>147</v>
      </c>
      <c r="AZ10" s="1" t="s">
        <v>147</v>
      </c>
      <c r="BA10" s="7" t="s">
        <v>147</v>
      </c>
      <c r="BB10" s="3" t="s">
        <v>148</v>
      </c>
      <c r="BC10" s="4" t="s">
        <v>148</v>
      </c>
      <c r="BD10" s="5" t="s">
        <v>148</v>
      </c>
      <c r="BE10" s="6" t="s">
        <v>149</v>
      </c>
      <c r="BF10" s="1" t="s">
        <v>149</v>
      </c>
      <c r="BG10" s="7" t="s">
        <v>149</v>
      </c>
    </row>
    <row r="11" spans="1:59">
      <c r="A11" s="30" t="s">
        <v>150</v>
      </c>
      <c r="B11" s="3" t="s">
        <v>151</v>
      </c>
      <c r="C11" s="4" t="s">
        <v>152</v>
      </c>
      <c r="D11" s="5" t="s">
        <v>153</v>
      </c>
      <c r="E11" s="6" t="s">
        <v>151</v>
      </c>
      <c r="F11" s="1" t="s">
        <v>152</v>
      </c>
      <c r="G11" s="7" t="s">
        <v>153</v>
      </c>
      <c r="H11" s="3" t="s">
        <v>151</v>
      </c>
      <c r="I11" s="4" t="s">
        <v>152</v>
      </c>
      <c r="J11" s="5" t="s">
        <v>153</v>
      </c>
      <c r="K11" s="6" t="s">
        <v>151</v>
      </c>
      <c r="L11" s="1" t="s">
        <v>152</v>
      </c>
      <c r="M11" s="7" t="s">
        <v>153</v>
      </c>
      <c r="N11" s="3" t="s">
        <v>151</v>
      </c>
      <c r="O11" s="4" t="s">
        <v>152</v>
      </c>
      <c r="P11" s="5" t="s">
        <v>153</v>
      </c>
      <c r="Q11" s="6" t="s">
        <v>151</v>
      </c>
      <c r="R11" s="1" t="s">
        <v>152</v>
      </c>
      <c r="S11" s="7" t="s">
        <v>153</v>
      </c>
      <c r="T11" s="20" t="s">
        <v>153</v>
      </c>
      <c r="U11" s="4" t="s">
        <v>152</v>
      </c>
      <c r="V11" s="21" t="s">
        <v>151</v>
      </c>
      <c r="W11" s="6" t="s">
        <v>151</v>
      </c>
      <c r="X11" s="1" t="s">
        <v>152</v>
      </c>
      <c r="Y11" s="7" t="s">
        <v>153</v>
      </c>
      <c r="Z11" s="3" t="s">
        <v>151</v>
      </c>
      <c r="AA11" s="4" t="s">
        <v>152</v>
      </c>
      <c r="AB11" s="5" t="s">
        <v>153</v>
      </c>
      <c r="AC11" s="6" t="s">
        <v>151</v>
      </c>
      <c r="AD11" s="1" t="s">
        <v>152</v>
      </c>
      <c r="AE11" s="7" t="s">
        <v>153</v>
      </c>
      <c r="AF11" s="3" t="s">
        <v>151</v>
      </c>
      <c r="AG11" s="4" t="s">
        <v>152</v>
      </c>
      <c r="AH11" s="5" t="s">
        <v>153</v>
      </c>
      <c r="AI11" s="6" t="s">
        <v>151</v>
      </c>
      <c r="AJ11" s="1" t="s">
        <v>152</v>
      </c>
      <c r="AK11" s="7" t="s">
        <v>153</v>
      </c>
      <c r="AL11" s="3" t="s">
        <v>151</v>
      </c>
      <c r="AM11" s="5" t="s">
        <v>152</v>
      </c>
      <c r="AN11" s="6" t="s">
        <v>151</v>
      </c>
      <c r="AO11" s="7" t="s">
        <v>152</v>
      </c>
      <c r="AP11" s="3" t="s">
        <v>151</v>
      </c>
      <c r="AQ11" s="4" t="s">
        <v>152</v>
      </c>
      <c r="AR11" s="5" t="s">
        <v>153</v>
      </c>
      <c r="AS11" s="6" t="s">
        <v>151</v>
      </c>
      <c r="AT11" s="1" t="s">
        <v>152</v>
      </c>
      <c r="AU11" s="7" t="s">
        <v>153</v>
      </c>
      <c r="AV11" s="3" t="s">
        <v>151</v>
      </c>
      <c r="AW11" s="4" t="s">
        <v>152</v>
      </c>
      <c r="AX11" s="5" t="s">
        <v>153</v>
      </c>
      <c r="AY11" s="6" t="s">
        <v>151</v>
      </c>
      <c r="AZ11" s="1" t="s">
        <v>152</v>
      </c>
      <c r="BA11" s="7" t="s">
        <v>153</v>
      </c>
      <c r="BB11" s="3" t="s">
        <v>151</v>
      </c>
      <c r="BC11" s="4" t="s">
        <v>152</v>
      </c>
      <c r="BD11" s="5" t="s">
        <v>153</v>
      </c>
      <c r="BE11" s="6" t="s">
        <v>151</v>
      </c>
      <c r="BF11" s="1" t="s">
        <v>152</v>
      </c>
      <c r="BG11" s="7" t="s">
        <v>153</v>
      </c>
    </row>
    <row r="12" spans="1:59">
      <c r="A12" s="30" t="s">
        <v>154</v>
      </c>
      <c r="B12" s="3" t="s">
        <v>155</v>
      </c>
      <c r="C12" s="4" t="s">
        <v>155</v>
      </c>
      <c r="D12" s="5" t="s">
        <v>155</v>
      </c>
      <c r="E12" s="6" t="s">
        <v>155</v>
      </c>
      <c r="F12" s="1" t="s">
        <v>155</v>
      </c>
      <c r="G12" s="7" t="s">
        <v>155</v>
      </c>
      <c r="H12" s="3" t="s">
        <v>155</v>
      </c>
      <c r="I12" s="4" t="s">
        <v>155</v>
      </c>
      <c r="J12" s="5" t="s">
        <v>155</v>
      </c>
      <c r="K12" s="6" t="s">
        <v>155</v>
      </c>
      <c r="L12" s="1" t="s">
        <v>155</v>
      </c>
      <c r="M12" s="7" t="s">
        <v>155</v>
      </c>
      <c r="N12" s="3" t="s">
        <v>155</v>
      </c>
      <c r="O12" s="4" t="s">
        <v>155</v>
      </c>
      <c r="P12" s="5" t="s">
        <v>155</v>
      </c>
      <c r="Q12" s="6" t="s">
        <v>155</v>
      </c>
      <c r="R12" s="1" t="s">
        <v>155</v>
      </c>
      <c r="S12" s="7" t="s">
        <v>155</v>
      </c>
      <c r="T12" s="3" t="s">
        <v>155</v>
      </c>
      <c r="U12" s="4" t="s">
        <v>155</v>
      </c>
      <c r="V12" s="5" t="s">
        <v>155</v>
      </c>
      <c r="W12" s="6" t="s">
        <v>155</v>
      </c>
      <c r="X12" s="1" t="s">
        <v>155</v>
      </c>
      <c r="Y12" s="7" t="s">
        <v>155</v>
      </c>
      <c r="Z12" s="3" t="s">
        <v>155</v>
      </c>
      <c r="AA12" s="4" t="s">
        <v>155</v>
      </c>
      <c r="AB12" s="5" t="s">
        <v>156</v>
      </c>
      <c r="AC12" s="6" t="s">
        <v>155</v>
      </c>
      <c r="AD12" s="1" t="s">
        <v>155</v>
      </c>
      <c r="AE12" s="7" t="s">
        <v>156</v>
      </c>
      <c r="AF12" s="3" t="s">
        <v>155</v>
      </c>
      <c r="AG12" s="4" t="s">
        <v>155</v>
      </c>
      <c r="AH12" s="5" t="s">
        <v>156</v>
      </c>
      <c r="AI12" s="6" t="s">
        <v>155</v>
      </c>
      <c r="AJ12" s="1" t="s">
        <v>155</v>
      </c>
      <c r="AK12" s="7" t="s">
        <v>156</v>
      </c>
      <c r="AL12" s="3" t="s">
        <v>155</v>
      </c>
      <c r="AM12" s="5" t="s">
        <v>155</v>
      </c>
      <c r="AN12" s="6" t="s">
        <v>155</v>
      </c>
      <c r="AO12" s="7" t="s">
        <v>155</v>
      </c>
      <c r="AP12" s="3" t="s">
        <v>155</v>
      </c>
      <c r="AQ12" s="4" t="s">
        <v>156</v>
      </c>
      <c r="AR12" s="5" t="s">
        <v>156</v>
      </c>
      <c r="AS12" s="6" t="s">
        <v>155</v>
      </c>
      <c r="AT12" s="1" t="s">
        <v>156</v>
      </c>
      <c r="AU12" s="7" t="s">
        <v>156</v>
      </c>
      <c r="AV12" s="3" t="s">
        <v>155</v>
      </c>
      <c r="AW12" s="4" t="s">
        <v>156</v>
      </c>
      <c r="AX12" s="5" t="s">
        <v>156</v>
      </c>
      <c r="AY12" s="6" t="s">
        <v>155</v>
      </c>
      <c r="AZ12" s="1" t="s">
        <v>156</v>
      </c>
      <c r="BA12" s="7" t="s">
        <v>156</v>
      </c>
      <c r="BB12" s="3" t="s">
        <v>156</v>
      </c>
      <c r="BC12" s="4" t="s">
        <v>156</v>
      </c>
      <c r="BD12" s="5" t="s">
        <v>156</v>
      </c>
      <c r="BE12" s="6" t="s">
        <v>156</v>
      </c>
      <c r="BF12" s="1" t="s">
        <v>156</v>
      </c>
      <c r="BG12" s="7" t="s">
        <v>156</v>
      </c>
    </row>
    <row r="13" spans="1:59">
      <c r="A13" s="30" t="s">
        <v>157</v>
      </c>
      <c r="B13" s="3" t="s">
        <v>158</v>
      </c>
      <c r="C13" s="4" t="s">
        <v>158</v>
      </c>
      <c r="D13" s="5" t="s">
        <v>158</v>
      </c>
      <c r="E13" s="6" t="s">
        <v>158</v>
      </c>
      <c r="F13" s="1" t="s">
        <v>158</v>
      </c>
      <c r="G13" s="7" t="s">
        <v>158</v>
      </c>
      <c r="H13" s="3" t="s">
        <v>158</v>
      </c>
      <c r="I13" s="4" t="s">
        <v>158</v>
      </c>
      <c r="J13" s="5" t="s">
        <v>158</v>
      </c>
      <c r="K13" s="6" t="s">
        <v>158</v>
      </c>
      <c r="L13" s="1" t="s">
        <v>158</v>
      </c>
      <c r="M13" s="7" t="s">
        <v>158</v>
      </c>
      <c r="N13" s="3" t="s">
        <v>158</v>
      </c>
      <c r="O13" s="4" t="s">
        <v>158</v>
      </c>
      <c r="P13" s="5" t="s">
        <v>158</v>
      </c>
      <c r="Q13" s="6" t="s">
        <v>158</v>
      </c>
      <c r="R13" s="1" t="s">
        <v>158</v>
      </c>
      <c r="S13" s="7" t="s">
        <v>158</v>
      </c>
      <c r="T13" s="3" t="s">
        <v>158</v>
      </c>
      <c r="U13" s="4" t="s">
        <v>158</v>
      </c>
      <c r="V13" s="5" t="s">
        <v>158</v>
      </c>
      <c r="W13" s="6" t="s">
        <v>158</v>
      </c>
      <c r="X13" s="1" t="s">
        <v>158</v>
      </c>
      <c r="Y13" s="7" t="s">
        <v>158</v>
      </c>
      <c r="Z13" s="3" t="s">
        <v>158</v>
      </c>
      <c r="AA13" s="4" t="s">
        <v>158</v>
      </c>
      <c r="AB13" s="5">
        <v>0</v>
      </c>
      <c r="AC13" s="6" t="s">
        <v>158</v>
      </c>
      <c r="AD13" s="1" t="s">
        <v>158</v>
      </c>
      <c r="AE13" s="7">
        <v>0</v>
      </c>
      <c r="AF13" s="3" t="s">
        <v>158</v>
      </c>
      <c r="AG13" s="4" t="s">
        <v>158</v>
      </c>
      <c r="AH13" s="5">
        <v>0</v>
      </c>
      <c r="AI13" s="6" t="s">
        <v>158</v>
      </c>
      <c r="AJ13" s="1" t="s">
        <v>158</v>
      </c>
      <c r="AK13" s="7">
        <v>0</v>
      </c>
      <c r="AL13" s="3" t="s">
        <v>158</v>
      </c>
      <c r="AM13" s="5" t="s">
        <v>158</v>
      </c>
      <c r="AN13" s="6" t="s">
        <v>158</v>
      </c>
      <c r="AO13" s="7" t="s">
        <v>158</v>
      </c>
      <c r="AP13" s="3" t="s">
        <v>158</v>
      </c>
      <c r="AQ13" s="4">
        <v>0</v>
      </c>
      <c r="AR13" s="5">
        <v>0</v>
      </c>
      <c r="AS13" s="6" t="s">
        <v>158</v>
      </c>
      <c r="AT13" s="1">
        <v>0</v>
      </c>
      <c r="AU13" s="7">
        <v>0</v>
      </c>
      <c r="AV13" s="3" t="s">
        <v>158</v>
      </c>
      <c r="AW13" s="4">
        <v>0</v>
      </c>
      <c r="AX13" s="5">
        <v>0</v>
      </c>
      <c r="AY13" s="6" t="s">
        <v>158</v>
      </c>
      <c r="AZ13" s="1">
        <v>0</v>
      </c>
      <c r="BA13" s="7">
        <v>0</v>
      </c>
      <c r="BB13" s="3">
        <v>0</v>
      </c>
      <c r="BC13" s="4">
        <v>0</v>
      </c>
      <c r="BD13" s="5">
        <v>0</v>
      </c>
      <c r="BE13" s="6">
        <v>0</v>
      </c>
      <c r="BF13" s="1">
        <v>0</v>
      </c>
      <c r="BG13" s="7">
        <v>0</v>
      </c>
    </row>
    <row r="14" spans="1:59">
      <c r="A14" s="30" t="s">
        <v>159</v>
      </c>
      <c r="B14" s="3" t="s">
        <v>160</v>
      </c>
      <c r="C14" s="4" t="s">
        <v>161</v>
      </c>
      <c r="D14" s="5" t="s">
        <v>161</v>
      </c>
      <c r="E14" s="6" t="s">
        <v>161</v>
      </c>
      <c r="F14" s="1" t="s">
        <v>161</v>
      </c>
      <c r="G14" s="7" t="s">
        <v>161</v>
      </c>
      <c r="H14" s="3" t="s">
        <v>161</v>
      </c>
      <c r="I14" s="4" t="s">
        <v>161</v>
      </c>
      <c r="J14" s="5" t="s">
        <v>161</v>
      </c>
      <c r="K14" s="6" t="s">
        <v>161</v>
      </c>
      <c r="L14" s="1" t="s">
        <v>161</v>
      </c>
      <c r="M14" s="7" t="s">
        <v>161</v>
      </c>
      <c r="N14" s="3" t="s">
        <v>161</v>
      </c>
      <c r="O14" s="4" t="s">
        <v>161</v>
      </c>
      <c r="P14" s="5" t="s">
        <v>161</v>
      </c>
      <c r="Q14" s="6" t="s">
        <v>161</v>
      </c>
      <c r="R14" s="1" t="s">
        <v>161</v>
      </c>
      <c r="S14" s="7" t="s">
        <v>161</v>
      </c>
      <c r="T14" s="3" t="s">
        <v>161</v>
      </c>
      <c r="U14" s="4" t="s">
        <v>161</v>
      </c>
      <c r="V14" s="5" t="s">
        <v>161</v>
      </c>
      <c r="W14" s="6" t="s">
        <v>161</v>
      </c>
      <c r="X14" s="1" t="s">
        <v>161</v>
      </c>
      <c r="Y14" s="7" t="s">
        <v>161</v>
      </c>
      <c r="Z14" s="3" t="s">
        <v>161</v>
      </c>
      <c r="AA14" s="4" t="s">
        <v>161</v>
      </c>
      <c r="AB14" s="5" t="s">
        <v>161</v>
      </c>
      <c r="AC14" s="6" t="s">
        <v>161</v>
      </c>
      <c r="AD14" s="1" t="s">
        <v>161</v>
      </c>
      <c r="AE14" s="7" t="s">
        <v>161</v>
      </c>
      <c r="AF14" s="3" t="s">
        <v>161</v>
      </c>
      <c r="AG14" s="4" t="s">
        <v>161</v>
      </c>
      <c r="AH14" s="5" t="s">
        <v>161</v>
      </c>
      <c r="AI14" s="6" t="s">
        <v>161</v>
      </c>
      <c r="AJ14" s="1" t="s">
        <v>161</v>
      </c>
      <c r="AK14" s="7" t="s">
        <v>161</v>
      </c>
      <c r="AL14" s="3" t="s">
        <v>161</v>
      </c>
      <c r="AM14" s="5" t="s">
        <v>161</v>
      </c>
      <c r="AN14" s="6" t="s">
        <v>161</v>
      </c>
      <c r="AO14" s="7" t="s">
        <v>161</v>
      </c>
      <c r="AP14" s="3" t="s">
        <v>161</v>
      </c>
      <c r="AQ14" s="4" t="s">
        <v>161</v>
      </c>
      <c r="AR14" s="5" t="s">
        <v>161</v>
      </c>
      <c r="AS14" s="6" t="s">
        <v>161</v>
      </c>
      <c r="AT14" s="1" t="s">
        <v>161</v>
      </c>
      <c r="AU14" s="7" t="s">
        <v>161</v>
      </c>
      <c r="AV14" s="3" t="s">
        <v>161</v>
      </c>
      <c r="AW14" s="4" t="s">
        <v>161</v>
      </c>
      <c r="AX14" s="5" t="s">
        <v>161</v>
      </c>
      <c r="AY14" s="6" t="s">
        <v>161</v>
      </c>
      <c r="AZ14" s="1" t="s">
        <v>161</v>
      </c>
      <c r="BA14" s="7" t="s">
        <v>161</v>
      </c>
      <c r="BB14" s="3" t="s">
        <v>161</v>
      </c>
      <c r="BC14" s="4" t="s">
        <v>161</v>
      </c>
      <c r="BD14" s="5" t="s">
        <v>161</v>
      </c>
      <c r="BE14" s="6" t="s">
        <v>161</v>
      </c>
      <c r="BF14" s="1" t="s">
        <v>161</v>
      </c>
      <c r="BG14" s="7" t="s">
        <v>161</v>
      </c>
    </row>
    <row r="15" spans="1:59">
      <c r="A15" s="30" t="s">
        <v>166</v>
      </c>
      <c r="B15" s="3"/>
      <c r="C15" s="4"/>
      <c r="D15" s="5"/>
      <c r="E15" s="6"/>
      <c r="F15" s="1"/>
      <c r="G15" s="7"/>
      <c r="H15" s="3"/>
      <c r="I15" s="4"/>
      <c r="J15" s="5"/>
      <c r="K15" s="6"/>
      <c r="L15" s="1"/>
      <c r="M15" s="7"/>
      <c r="N15" s="3"/>
      <c r="O15" s="4"/>
      <c r="P15" s="5"/>
      <c r="Q15" s="6"/>
      <c r="R15" s="1"/>
      <c r="S15" s="7"/>
      <c r="T15" s="3"/>
      <c r="U15" s="4"/>
      <c r="V15" s="5"/>
      <c r="W15" s="6"/>
      <c r="X15" s="1"/>
      <c r="Y15" s="7"/>
      <c r="Z15" s="3"/>
      <c r="AA15" s="4"/>
      <c r="AB15" s="5"/>
      <c r="AC15" s="6"/>
      <c r="AD15" s="1"/>
      <c r="AE15" s="7"/>
      <c r="AF15" s="3"/>
      <c r="AG15" s="4"/>
      <c r="AH15" s="5"/>
      <c r="AI15" s="6"/>
      <c r="AJ15" s="1"/>
      <c r="AK15" s="7"/>
      <c r="AL15" s="3"/>
      <c r="AM15" s="5"/>
      <c r="AN15" s="6"/>
      <c r="AO15" s="7"/>
      <c r="AP15" s="3"/>
      <c r="AQ15" s="4"/>
      <c r="AR15" s="5"/>
      <c r="AS15" s="6"/>
      <c r="AT15" s="1"/>
      <c r="AU15" s="7"/>
      <c r="AV15" s="3"/>
      <c r="AW15" s="4"/>
      <c r="AX15" s="5"/>
      <c r="AY15" s="6"/>
      <c r="AZ15" s="1"/>
      <c r="BA15" s="7"/>
      <c r="BB15" s="3"/>
      <c r="BC15" s="4"/>
      <c r="BD15" s="5"/>
      <c r="BE15" s="6"/>
      <c r="BF15" s="1"/>
      <c r="BG15" s="7"/>
    </row>
    <row r="16" spans="1:59">
      <c r="A16" s="31" t="s">
        <v>167</v>
      </c>
      <c r="B16" s="3">
        <v>4.91</v>
      </c>
      <c r="C16" s="4">
        <v>5.01</v>
      </c>
      <c r="D16" s="5">
        <v>5.33</v>
      </c>
      <c r="E16" s="6">
        <v>0</v>
      </c>
      <c r="F16" s="1">
        <v>4.51</v>
      </c>
      <c r="G16" s="7">
        <v>4.87</v>
      </c>
      <c r="H16" s="3">
        <v>0</v>
      </c>
      <c r="I16" s="4">
        <v>5.92</v>
      </c>
      <c r="J16" s="5">
        <v>0</v>
      </c>
      <c r="K16" s="6">
        <v>5.95</v>
      </c>
      <c r="L16" s="1">
        <v>5.8</v>
      </c>
      <c r="M16" s="7">
        <v>0</v>
      </c>
      <c r="N16" s="3">
        <v>6.3</v>
      </c>
      <c r="O16" s="4">
        <v>5.51</v>
      </c>
      <c r="P16" s="5">
        <v>5.47</v>
      </c>
      <c r="Q16" s="6">
        <v>6.33</v>
      </c>
      <c r="R16" s="1">
        <v>5.4</v>
      </c>
      <c r="S16" s="7">
        <v>0</v>
      </c>
      <c r="T16" s="3">
        <v>0</v>
      </c>
      <c r="U16" s="4">
        <v>5.48</v>
      </c>
      <c r="V16" s="5">
        <v>5.63</v>
      </c>
      <c r="W16" s="6">
        <v>6.73</v>
      </c>
      <c r="X16" s="1">
        <v>5.27</v>
      </c>
      <c r="Y16" s="7">
        <v>5.63</v>
      </c>
      <c r="Z16" s="3">
        <v>6.77</v>
      </c>
      <c r="AA16" s="4">
        <v>0</v>
      </c>
      <c r="AB16" s="5">
        <v>0</v>
      </c>
      <c r="AC16" s="6">
        <v>5.74</v>
      </c>
      <c r="AD16" s="1">
        <v>0</v>
      </c>
      <c r="AE16" s="7">
        <v>0</v>
      </c>
      <c r="AF16" s="3">
        <v>5.84</v>
      </c>
      <c r="AG16" s="4">
        <v>6.66</v>
      </c>
      <c r="AH16" s="5">
        <v>0</v>
      </c>
      <c r="AI16" s="6">
        <v>0</v>
      </c>
      <c r="AJ16" s="1">
        <v>5.28</v>
      </c>
      <c r="AK16" s="7">
        <v>0</v>
      </c>
      <c r="AL16" s="3">
        <v>6.46</v>
      </c>
      <c r="AM16" s="5">
        <v>5.76</v>
      </c>
      <c r="AN16" s="6">
        <v>5.08</v>
      </c>
      <c r="AO16" s="7">
        <v>5.04</v>
      </c>
      <c r="AP16" s="3">
        <v>5.15</v>
      </c>
      <c r="AQ16" s="4">
        <v>0</v>
      </c>
      <c r="AR16" s="5">
        <v>0</v>
      </c>
      <c r="AS16" s="6">
        <v>5.61</v>
      </c>
      <c r="AT16" s="1">
        <v>0</v>
      </c>
      <c r="AU16" s="7">
        <v>0</v>
      </c>
      <c r="AV16" s="3">
        <v>5.6</v>
      </c>
      <c r="AW16" s="4">
        <v>0</v>
      </c>
      <c r="AX16" s="5">
        <v>0</v>
      </c>
      <c r="AY16" s="6">
        <v>0</v>
      </c>
      <c r="AZ16" s="1">
        <v>0</v>
      </c>
      <c r="BA16" s="7">
        <v>0</v>
      </c>
      <c r="BB16" s="3">
        <v>0</v>
      </c>
      <c r="BC16" s="4">
        <v>0</v>
      </c>
      <c r="BD16" s="5">
        <v>0</v>
      </c>
      <c r="BE16" s="6">
        <v>0</v>
      </c>
      <c r="BF16" s="1">
        <v>0</v>
      </c>
      <c r="BG16" s="7">
        <v>0</v>
      </c>
    </row>
    <row r="17" spans="1:59">
      <c r="A17" s="31" t="s">
        <v>168</v>
      </c>
      <c r="B17" s="3">
        <v>3.79</v>
      </c>
      <c r="C17" s="4">
        <v>3.48</v>
      </c>
      <c r="D17" s="5">
        <v>4.99</v>
      </c>
      <c r="E17" s="6">
        <v>0</v>
      </c>
      <c r="F17" s="1">
        <v>4.29</v>
      </c>
      <c r="G17" s="7">
        <v>4.49</v>
      </c>
      <c r="H17" s="3">
        <v>0</v>
      </c>
      <c r="I17" s="4">
        <v>4.96</v>
      </c>
      <c r="J17" s="5">
        <v>0</v>
      </c>
      <c r="K17" s="6">
        <v>5.04</v>
      </c>
      <c r="L17" s="1">
        <v>4.3899999999999997</v>
      </c>
      <c r="M17" s="7">
        <v>0</v>
      </c>
      <c r="N17" s="3">
        <v>5.51</v>
      </c>
      <c r="O17" s="4">
        <v>4.28</v>
      </c>
      <c r="P17" s="5">
        <v>4.4800000000000004</v>
      </c>
      <c r="Q17" s="6">
        <v>5.84</v>
      </c>
      <c r="R17" s="1">
        <v>4.46</v>
      </c>
      <c r="S17" s="7">
        <v>0</v>
      </c>
      <c r="T17" s="3">
        <v>0</v>
      </c>
      <c r="U17" s="4">
        <v>4.8600000000000003</v>
      </c>
      <c r="V17" s="5">
        <v>4.84</v>
      </c>
      <c r="W17" s="6">
        <v>5.32</v>
      </c>
      <c r="X17" s="1">
        <v>4.83</v>
      </c>
      <c r="Y17" s="7">
        <v>4.8499999999999996</v>
      </c>
      <c r="Z17" s="3">
        <v>4.5599999999999996</v>
      </c>
      <c r="AA17" s="4">
        <v>0</v>
      </c>
      <c r="AB17" s="5">
        <v>0</v>
      </c>
      <c r="AC17" s="6">
        <v>4.3899999999999997</v>
      </c>
      <c r="AD17" s="1">
        <v>0</v>
      </c>
      <c r="AE17" s="7">
        <v>0</v>
      </c>
      <c r="AF17" s="3">
        <v>4.82</v>
      </c>
      <c r="AG17" s="4">
        <v>5.23</v>
      </c>
      <c r="AH17" s="5">
        <v>0</v>
      </c>
      <c r="AI17" s="6">
        <v>0</v>
      </c>
      <c r="AJ17" s="1">
        <v>5.08</v>
      </c>
      <c r="AK17" s="7">
        <v>0</v>
      </c>
      <c r="AL17" s="3">
        <v>5.58</v>
      </c>
      <c r="AM17" s="5">
        <v>4.08</v>
      </c>
      <c r="AN17" s="6">
        <v>3.23</v>
      </c>
      <c r="AO17" s="7">
        <v>4.59</v>
      </c>
      <c r="AP17" s="3">
        <v>5.07</v>
      </c>
      <c r="AQ17" s="4">
        <v>0</v>
      </c>
      <c r="AR17" s="5">
        <v>0</v>
      </c>
      <c r="AS17" s="6">
        <v>4.66</v>
      </c>
      <c r="AT17" s="1">
        <v>0</v>
      </c>
      <c r="AU17" s="7">
        <v>0</v>
      </c>
      <c r="AV17" s="3">
        <v>4.91</v>
      </c>
      <c r="AW17" s="4">
        <v>0</v>
      </c>
      <c r="AX17" s="5">
        <v>0</v>
      </c>
      <c r="AY17" s="6">
        <v>0</v>
      </c>
      <c r="AZ17" s="1">
        <v>0</v>
      </c>
      <c r="BA17" s="7">
        <v>0</v>
      </c>
      <c r="BB17" s="3">
        <v>0</v>
      </c>
      <c r="BC17" s="4">
        <v>0</v>
      </c>
      <c r="BD17" s="5">
        <v>0</v>
      </c>
      <c r="BE17" s="6">
        <v>0</v>
      </c>
      <c r="BF17" s="1">
        <v>0</v>
      </c>
      <c r="BG17" s="7">
        <v>0</v>
      </c>
    </row>
    <row r="18" spans="1:59" s="40" customFormat="1">
      <c r="A18" s="31" t="s">
        <v>169</v>
      </c>
      <c r="B18" s="32">
        <f>B16*B17*B17/2</f>
        <v>35.263865500000001</v>
      </c>
      <c r="C18" s="33">
        <f t="shared" ref="C18:AO18" si="0">C16*C17*C17/2</f>
        <v>30.336551999999998</v>
      </c>
      <c r="D18" s="34">
        <f t="shared" si="0"/>
        <v>66.358766500000002</v>
      </c>
      <c r="E18" s="35">
        <f t="shared" si="0"/>
        <v>0</v>
      </c>
      <c r="F18" s="36">
        <f t="shared" si="0"/>
        <v>41.501245499999996</v>
      </c>
      <c r="G18" s="37">
        <f t="shared" si="0"/>
        <v>49.089843500000008</v>
      </c>
      <c r="H18" s="32">
        <f>H16*H17*H17/2</f>
        <v>0</v>
      </c>
      <c r="I18" s="33">
        <f t="shared" ref="I18" si="1">I16*I17*I17/2</f>
        <v>72.820735999999997</v>
      </c>
      <c r="J18" s="34">
        <f t="shared" ref="J18" si="2">J16*J17*J17/2</f>
        <v>0</v>
      </c>
      <c r="K18" s="35">
        <f t="shared" ref="K18" si="3">K16*K17*K17/2</f>
        <v>75.569760000000002</v>
      </c>
      <c r="L18" s="36">
        <f t="shared" ref="L18" si="4">L16*L17*L17/2</f>
        <v>55.889089999999989</v>
      </c>
      <c r="M18" s="37">
        <f t="shared" ref="M18" si="5">M16*M17*M17/2</f>
        <v>0</v>
      </c>
      <c r="N18" s="32">
        <f>N16*N17*N17/2</f>
        <v>95.634315000000001</v>
      </c>
      <c r="O18" s="33">
        <f t="shared" ref="O18" si="6">O16*O17*O17/2</f>
        <v>50.467191999999997</v>
      </c>
      <c r="P18" s="34">
        <f t="shared" ref="P18" si="7">P16*P17*P17/2</f>
        <v>54.892544000000008</v>
      </c>
      <c r="Q18" s="35">
        <f t="shared" ref="Q18" si="8">Q16*Q17*Q17/2</f>
        <v>107.94422399999999</v>
      </c>
      <c r="R18" s="36">
        <f t="shared" ref="R18" si="9">R16*R17*R17/2</f>
        <v>53.707319999999996</v>
      </c>
      <c r="S18" s="37">
        <f t="shared" ref="S18" si="10">S16*S17*S17/2</f>
        <v>0</v>
      </c>
      <c r="T18" s="32">
        <f>T16*T17*T17/2</f>
        <v>0</v>
      </c>
      <c r="U18" s="33">
        <f t="shared" ref="U18" si="11">U16*U17*U17/2</f>
        <v>64.717704000000012</v>
      </c>
      <c r="V18" s="34">
        <f t="shared" ref="V18" si="12">V16*V17*V17/2</f>
        <v>65.943063999999993</v>
      </c>
      <c r="W18" s="35">
        <f t="shared" ref="W18" si="13">W16*W17*W17/2</f>
        <v>95.237576000000018</v>
      </c>
      <c r="X18" s="36">
        <f t="shared" ref="X18" si="14">X16*X17*X17/2</f>
        <v>61.471651499999993</v>
      </c>
      <c r="Y18" s="37">
        <f t="shared" ref="Y18" si="15">Y16*Y17*Y17/2</f>
        <v>66.215837499999992</v>
      </c>
      <c r="Z18" s="32">
        <f>Z16*Z17*Z17/2</f>
        <v>70.386335999999986</v>
      </c>
      <c r="AA18" s="33">
        <f t="shared" ref="AA18" si="16">AA16*AA17*AA17/2</f>
        <v>0</v>
      </c>
      <c r="AB18" s="34">
        <f t="shared" ref="AB18" si="17">AB16*AB17*AB17/2</f>
        <v>0</v>
      </c>
      <c r="AC18" s="35">
        <f t="shared" ref="AC18" si="18">AC16*AC17*AC17/2</f>
        <v>55.310926999999992</v>
      </c>
      <c r="AD18" s="36">
        <f t="shared" ref="AD18" si="19">AD16*AD17*AD17/2</f>
        <v>0</v>
      </c>
      <c r="AE18" s="37">
        <f t="shared" ref="AE18" si="20">AE16*AE17*AE17/2</f>
        <v>0</v>
      </c>
      <c r="AF18" s="32">
        <f>AF16*AF17*AF17/2</f>
        <v>67.838608000000008</v>
      </c>
      <c r="AG18" s="33">
        <f t="shared" ref="AG18" si="21">AG16*AG17*AG17/2</f>
        <v>91.085157000000009</v>
      </c>
      <c r="AH18" s="34">
        <f t="shared" ref="AH18" si="22">AH16*AH17*AH17/2</f>
        <v>0</v>
      </c>
      <c r="AI18" s="35">
        <f t="shared" ref="AI18" si="23">AI16*AI17*AI17/2</f>
        <v>0</v>
      </c>
      <c r="AJ18" s="36">
        <f t="shared" ref="AJ18" si="24">AJ16*AJ17*AJ17/2</f>
        <v>68.128896000000012</v>
      </c>
      <c r="AK18" s="37">
        <f t="shared" ref="AK18" si="25">AK16*AK17*AK17/2</f>
        <v>0</v>
      </c>
      <c r="AL18" s="38">
        <f t="shared" si="0"/>
        <v>100.570572</v>
      </c>
      <c r="AM18" s="39">
        <f t="shared" si="0"/>
        <v>47.941631999999998</v>
      </c>
      <c r="AN18" s="35">
        <f t="shared" si="0"/>
        <v>26.499566000000002</v>
      </c>
      <c r="AO18" s="37">
        <f t="shared" si="0"/>
        <v>53.091611999999991</v>
      </c>
      <c r="AP18" s="32">
        <f>AP16*AP17*AP17/2</f>
        <v>66.190117500000014</v>
      </c>
      <c r="AQ18" s="33">
        <f t="shared" ref="AQ18" si="26">AQ16*AQ17*AQ17/2</f>
        <v>0</v>
      </c>
      <c r="AR18" s="34">
        <f t="shared" ref="AR18" si="27">AR16*AR17*AR17/2</f>
        <v>0</v>
      </c>
      <c r="AS18" s="35">
        <f t="shared" ref="AS18" si="28">AS16*AS17*AS17/2</f>
        <v>60.912258000000008</v>
      </c>
      <c r="AT18" s="36">
        <f t="shared" ref="AT18" si="29">AT16*AT17*AT17/2</f>
        <v>0</v>
      </c>
      <c r="AU18" s="37">
        <f t="shared" ref="AU18" si="30">AU16*AU17*AU17/2</f>
        <v>0</v>
      </c>
      <c r="AV18" s="32">
        <f>AV16*AV17*AV17/2</f>
        <v>67.502679999999998</v>
      </c>
      <c r="AW18" s="33">
        <f t="shared" ref="AW18" si="31">AW16*AW17*AW17/2</f>
        <v>0</v>
      </c>
      <c r="AX18" s="34">
        <f t="shared" ref="AX18" si="32">AX16*AX17*AX17/2</f>
        <v>0</v>
      </c>
      <c r="AY18" s="35">
        <f t="shared" ref="AY18" si="33">AY16*AY17*AY17/2</f>
        <v>0</v>
      </c>
      <c r="AZ18" s="36">
        <f t="shared" ref="AZ18" si="34">AZ16*AZ17*AZ17/2</f>
        <v>0</v>
      </c>
      <c r="BA18" s="37">
        <f t="shared" ref="BA18" si="35">BA16*BA17*BA17/2</f>
        <v>0</v>
      </c>
      <c r="BB18" s="32">
        <f>BB16*BB17*BB17/2</f>
        <v>0</v>
      </c>
      <c r="BC18" s="33">
        <f t="shared" ref="BC18" si="36">BC16*BC17*BC17/2</f>
        <v>0</v>
      </c>
      <c r="BD18" s="34">
        <f t="shared" ref="BD18" si="37">BD16*BD17*BD17/2</f>
        <v>0</v>
      </c>
      <c r="BE18" s="35">
        <f t="shared" ref="BE18" si="38">BE16*BE17*BE17/2</f>
        <v>0</v>
      </c>
      <c r="BF18" s="36">
        <f t="shared" ref="BF18" si="39">BF16*BF17*BF17/2</f>
        <v>0</v>
      </c>
      <c r="BG18" s="37">
        <f t="shared" ref="BG18" si="40">BG16*BG17*BG17/2</f>
        <v>0</v>
      </c>
    </row>
    <row r="19" spans="1:59">
      <c r="A19" s="31" t="s">
        <v>170</v>
      </c>
      <c r="B19" s="3">
        <v>6.71</v>
      </c>
      <c r="C19" s="4">
        <v>6</v>
      </c>
      <c r="D19" s="5">
        <v>0</v>
      </c>
      <c r="E19" s="6">
        <v>5.04</v>
      </c>
      <c r="F19" s="1">
        <v>6.11</v>
      </c>
      <c r="G19" s="7">
        <v>5.63</v>
      </c>
      <c r="H19" s="3">
        <v>4.1500000000000004</v>
      </c>
      <c r="I19" s="4">
        <v>5.28</v>
      </c>
      <c r="J19" s="5">
        <v>5.54</v>
      </c>
      <c r="K19" s="6">
        <v>6.71</v>
      </c>
      <c r="L19" s="1">
        <v>6.49</v>
      </c>
      <c r="M19" s="7">
        <v>6.9</v>
      </c>
      <c r="N19" s="3">
        <v>7.17</v>
      </c>
      <c r="O19" s="4">
        <v>6.96</v>
      </c>
      <c r="P19" s="5">
        <v>7.31</v>
      </c>
      <c r="Q19" s="6">
        <v>7.87</v>
      </c>
      <c r="R19" s="1" t="s">
        <v>163</v>
      </c>
      <c r="S19" s="7">
        <v>6.66</v>
      </c>
      <c r="T19" s="3">
        <v>6.58</v>
      </c>
      <c r="U19" s="4">
        <v>6.2</v>
      </c>
      <c r="V19" s="5">
        <v>6.41</v>
      </c>
      <c r="W19" s="6">
        <v>7.8</v>
      </c>
      <c r="X19" s="1">
        <v>6.23</v>
      </c>
      <c r="Y19" s="7">
        <v>6.68</v>
      </c>
      <c r="Z19" s="3">
        <v>6.89</v>
      </c>
      <c r="AA19" s="4">
        <v>7.31</v>
      </c>
      <c r="AB19" s="5">
        <v>0</v>
      </c>
      <c r="AC19" s="6">
        <v>7.82</v>
      </c>
      <c r="AD19" s="1">
        <v>8.1199999999999992</v>
      </c>
      <c r="AE19" s="7">
        <v>0</v>
      </c>
      <c r="AF19" s="3">
        <v>6.05</v>
      </c>
      <c r="AG19" s="4">
        <v>7.88</v>
      </c>
      <c r="AH19" s="5">
        <v>0</v>
      </c>
      <c r="AI19" s="6">
        <v>8.07</v>
      </c>
      <c r="AJ19" s="1">
        <v>7.95</v>
      </c>
      <c r="AK19" s="7">
        <v>0</v>
      </c>
      <c r="AL19" s="3">
        <v>7</v>
      </c>
      <c r="AM19" s="5">
        <v>6.82</v>
      </c>
      <c r="AN19" s="6">
        <v>8.09</v>
      </c>
      <c r="AO19" s="7">
        <v>7.9</v>
      </c>
      <c r="AP19" s="3">
        <v>6.5</v>
      </c>
      <c r="AQ19" s="4">
        <v>0</v>
      </c>
      <c r="AR19" s="5">
        <v>0</v>
      </c>
      <c r="AS19" s="6">
        <v>7.37</v>
      </c>
      <c r="AT19" s="1">
        <v>0</v>
      </c>
      <c r="AU19" s="7">
        <v>0</v>
      </c>
      <c r="AV19" s="3">
        <v>8.6</v>
      </c>
      <c r="AW19" s="4">
        <v>0</v>
      </c>
      <c r="AX19" s="5">
        <v>0</v>
      </c>
      <c r="AY19" s="6">
        <v>9.17</v>
      </c>
      <c r="AZ19" s="1" t="s">
        <v>163</v>
      </c>
      <c r="BA19" s="7">
        <v>0</v>
      </c>
      <c r="BB19" s="3">
        <v>0</v>
      </c>
      <c r="BC19" s="4">
        <v>0</v>
      </c>
      <c r="BD19" s="5">
        <v>0</v>
      </c>
      <c r="BE19" s="6">
        <v>0</v>
      </c>
      <c r="BF19" s="1">
        <v>0</v>
      </c>
      <c r="BG19" s="7">
        <v>0</v>
      </c>
    </row>
    <row r="20" spans="1:59">
      <c r="A20" s="31" t="s">
        <v>171</v>
      </c>
      <c r="B20" s="3">
        <v>4.99</v>
      </c>
      <c r="C20" s="4">
        <v>4.34</v>
      </c>
      <c r="D20" s="5">
        <v>0</v>
      </c>
      <c r="E20" s="6">
        <v>4.53</v>
      </c>
      <c r="F20" s="1">
        <v>4.67</v>
      </c>
      <c r="G20" s="7">
        <v>5.57</v>
      </c>
      <c r="H20" s="3">
        <v>3.36</v>
      </c>
      <c r="I20" s="4">
        <v>5.32</v>
      </c>
      <c r="J20" s="5">
        <v>4.9000000000000004</v>
      </c>
      <c r="K20" s="6">
        <v>5.74</v>
      </c>
      <c r="L20" s="1">
        <v>5.66</v>
      </c>
      <c r="M20" s="7">
        <v>6.02</v>
      </c>
      <c r="N20" s="3">
        <v>6.24</v>
      </c>
      <c r="O20" s="4">
        <v>5.55</v>
      </c>
      <c r="P20" s="5">
        <v>6.34</v>
      </c>
      <c r="Q20" s="6">
        <v>6.24</v>
      </c>
      <c r="R20" s="1" t="s">
        <v>163</v>
      </c>
      <c r="S20" s="7">
        <v>5.73</v>
      </c>
      <c r="T20" s="3">
        <v>4.93</v>
      </c>
      <c r="U20" s="4">
        <v>5.24</v>
      </c>
      <c r="V20" s="5">
        <v>5.95</v>
      </c>
      <c r="W20" s="6">
        <v>6.25</v>
      </c>
      <c r="X20" s="1">
        <v>6.09</v>
      </c>
      <c r="Y20" s="7">
        <v>5.72</v>
      </c>
      <c r="Z20" s="3">
        <v>5.47</v>
      </c>
      <c r="AA20" s="4">
        <v>5.88</v>
      </c>
      <c r="AB20" s="5">
        <v>0</v>
      </c>
      <c r="AC20" s="6">
        <v>6.25</v>
      </c>
      <c r="AD20" s="1">
        <v>4.9000000000000004</v>
      </c>
      <c r="AE20" s="7">
        <v>0</v>
      </c>
      <c r="AF20" s="3">
        <v>5.62</v>
      </c>
      <c r="AG20" s="4">
        <v>6.86</v>
      </c>
      <c r="AH20" s="5">
        <v>0</v>
      </c>
      <c r="AI20" s="6">
        <v>6.66</v>
      </c>
      <c r="AJ20" s="1">
        <v>5.75</v>
      </c>
      <c r="AK20" s="7">
        <v>0</v>
      </c>
      <c r="AL20" s="3">
        <v>6.15</v>
      </c>
      <c r="AM20" s="5">
        <v>5.91</v>
      </c>
      <c r="AN20" s="6">
        <v>5.15</v>
      </c>
      <c r="AO20" s="7">
        <v>6.65</v>
      </c>
      <c r="AP20" s="3">
        <v>4.62</v>
      </c>
      <c r="AQ20" s="4">
        <v>0</v>
      </c>
      <c r="AR20" s="5">
        <v>0</v>
      </c>
      <c r="AS20" s="6">
        <v>5.58</v>
      </c>
      <c r="AT20" s="1">
        <v>0</v>
      </c>
      <c r="AU20" s="7">
        <v>0</v>
      </c>
      <c r="AV20" s="3">
        <v>5</v>
      </c>
      <c r="AW20" s="4">
        <v>0</v>
      </c>
      <c r="AX20" s="5">
        <v>0</v>
      </c>
      <c r="AY20" s="6">
        <v>5.12</v>
      </c>
      <c r="AZ20" s="1" t="s">
        <v>163</v>
      </c>
      <c r="BA20" s="7">
        <v>0</v>
      </c>
      <c r="BB20" s="3">
        <v>0</v>
      </c>
      <c r="BC20" s="4">
        <v>0</v>
      </c>
      <c r="BD20" s="5">
        <v>0</v>
      </c>
      <c r="BE20" s="6">
        <v>0</v>
      </c>
      <c r="BF20" s="1">
        <v>0</v>
      </c>
      <c r="BG20" s="7">
        <v>0</v>
      </c>
    </row>
    <row r="21" spans="1:59" s="40" customFormat="1">
      <c r="A21" s="31" t="s">
        <v>172</v>
      </c>
      <c r="B21" s="32">
        <f>B19*B20*B20/2</f>
        <v>83.539835500000009</v>
      </c>
      <c r="C21" s="33">
        <f t="shared" ref="C21" si="41">C19*C20*C20/2</f>
        <v>56.506799999999998</v>
      </c>
      <c r="D21" s="34">
        <f t="shared" ref="D21" si="42">D19*D20*D20/2</f>
        <v>0</v>
      </c>
      <c r="E21" s="35">
        <f t="shared" ref="E21" si="43">E19*E20*E20/2</f>
        <v>51.712668000000008</v>
      </c>
      <c r="F21" s="36">
        <f t="shared" ref="F21" si="44">F19*F20*F20/2</f>
        <v>66.626189499999995</v>
      </c>
      <c r="G21" s="37">
        <f t="shared" ref="G21" si="45">G19*G20*G20/2</f>
        <v>87.335093500000013</v>
      </c>
      <c r="H21" s="32">
        <f>H19*H20*H20/2</f>
        <v>23.425920000000001</v>
      </c>
      <c r="I21" s="33">
        <f t="shared" ref="I21" si="46">I19*I20*I20/2</f>
        <v>74.718336000000022</v>
      </c>
      <c r="J21" s="34">
        <f t="shared" ref="J21" si="47">J19*J20*J20/2</f>
        <v>66.5077</v>
      </c>
      <c r="K21" s="35">
        <f t="shared" ref="K21" si="48">K19*K20*K20/2</f>
        <v>110.539198</v>
      </c>
      <c r="L21" s="36">
        <f t="shared" ref="L21" si="49">L19*L20*L20/2</f>
        <v>103.95552200000002</v>
      </c>
      <c r="M21" s="37">
        <f t="shared" ref="M21" si="50">M19*M20*M20/2</f>
        <v>125.02937999999997</v>
      </c>
      <c r="N21" s="32">
        <f>N19*N20*N20/2</f>
        <v>139.591296</v>
      </c>
      <c r="O21" s="33">
        <f t="shared" ref="O21" si="51">O19*O20*O20/2</f>
        <v>107.1927</v>
      </c>
      <c r="P21" s="34">
        <f t="shared" ref="P21" si="52">P19*P20*P20/2</f>
        <v>146.914918</v>
      </c>
      <c r="Q21" s="35">
        <f t="shared" ref="Q21" si="53">Q19*Q20*Q20/2</f>
        <v>153.21945600000001</v>
      </c>
      <c r="R21" s="36" t="s">
        <v>163</v>
      </c>
      <c r="S21" s="37">
        <f t="shared" ref="S21" si="54">S19*S20*S20/2</f>
        <v>109.33355700000003</v>
      </c>
      <c r="T21" s="32">
        <f>T19*T20*T20/2</f>
        <v>79.963120999999987</v>
      </c>
      <c r="U21" s="33">
        <f t="shared" ref="U21" si="55">U19*U20*U20/2</f>
        <v>85.118560000000002</v>
      </c>
      <c r="V21" s="34">
        <f t="shared" ref="V21" si="56">V19*V20*V20/2</f>
        <v>113.46501250000001</v>
      </c>
      <c r="W21" s="35">
        <f t="shared" ref="W21" si="57">W19*W20*W20/2</f>
        <v>152.34375</v>
      </c>
      <c r="X21" s="36">
        <f t="shared" ref="X21" si="58">X19*X20*X20/2</f>
        <v>115.5294315</v>
      </c>
      <c r="Y21" s="37">
        <f t="shared" ref="Y21" si="59">Y19*Y20*Y20/2</f>
        <v>109.27945599999998</v>
      </c>
      <c r="Z21" s="32">
        <f>Z19*Z20*Z20/2</f>
        <v>103.07750049999999</v>
      </c>
      <c r="AA21" s="33">
        <f t="shared" ref="AA21" si="60">AA19*AA20*AA20/2</f>
        <v>126.36943199999999</v>
      </c>
      <c r="AB21" s="34">
        <f t="shared" ref="AB21" si="61">AB19*AB20*AB20/2</f>
        <v>0</v>
      </c>
      <c r="AC21" s="35">
        <f t="shared" ref="AC21" si="62">AC19*AC20*AC20/2</f>
        <v>152.734375</v>
      </c>
      <c r="AD21" s="36">
        <f t="shared" ref="AD21" si="63">AD19*AD20*AD20/2</f>
        <v>97.480599999999995</v>
      </c>
      <c r="AE21" s="37">
        <f t="shared" ref="AE21" si="64">AE19*AE20*AE20/2</f>
        <v>0</v>
      </c>
      <c r="AF21" s="32">
        <f>AF19*AF20*AF20/2</f>
        <v>95.542809999999989</v>
      </c>
      <c r="AG21" s="33">
        <f t="shared" ref="AG21" si="65">AG19*AG20*AG20/2</f>
        <v>185.41482400000001</v>
      </c>
      <c r="AH21" s="34">
        <f t="shared" ref="AH21" si="66">AH19*AH20*AH20/2</f>
        <v>0</v>
      </c>
      <c r="AI21" s="35">
        <f t="shared" ref="AI21" si="67">AI19*AI20*AI20/2</f>
        <v>178.97484600000001</v>
      </c>
      <c r="AJ21" s="36">
        <f t="shared" ref="AJ21" si="68">AJ19*AJ20*AJ20/2</f>
        <v>131.42343750000001</v>
      </c>
      <c r="AK21" s="37">
        <f t="shared" ref="AK21" si="69">AK19*AK20*AK20/2</f>
        <v>0</v>
      </c>
      <c r="AL21" s="38">
        <f t="shared" ref="AL21" si="70">AL19*AL20*AL20/2</f>
        <v>132.37875000000003</v>
      </c>
      <c r="AM21" s="39">
        <f t="shared" ref="AM21" si="71">AM19*AM20*AM20/2</f>
        <v>119.10482100000002</v>
      </c>
      <c r="AN21" s="35">
        <f t="shared" ref="AN21" si="72">AN19*AN20*AN20/2</f>
        <v>107.2835125</v>
      </c>
      <c r="AO21" s="37">
        <f t="shared" ref="AO21" si="73">AO19*AO20*AO20/2</f>
        <v>174.67887500000003</v>
      </c>
      <c r="AP21" s="32">
        <f>AP19*AP20*AP20/2</f>
        <v>69.36930000000001</v>
      </c>
      <c r="AQ21" s="33">
        <f t="shared" ref="AQ21" si="74">AQ19*AQ20*AQ20/2</f>
        <v>0</v>
      </c>
      <c r="AR21" s="34">
        <f t="shared" ref="AR21" si="75">AR19*AR20*AR20/2</f>
        <v>0</v>
      </c>
      <c r="AS21" s="35">
        <f t="shared" ref="AS21" si="76">AS19*AS20*AS20/2</f>
        <v>114.737634</v>
      </c>
      <c r="AT21" s="36">
        <f t="shared" ref="AT21" si="77">AT19*AT20*AT20/2</f>
        <v>0</v>
      </c>
      <c r="AU21" s="37">
        <f t="shared" ref="AU21" si="78">AU19*AU20*AU20/2</f>
        <v>0</v>
      </c>
      <c r="AV21" s="32">
        <f>AV19*AV20*AV20/2</f>
        <v>107.5</v>
      </c>
      <c r="AW21" s="33">
        <f t="shared" ref="AW21" si="79">AW19*AW20*AW20/2</f>
        <v>0</v>
      </c>
      <c r="AX21" s="34">
        <f t="shared" ref="AX21" si="80">AX19*AX20*AX20/2</f>
        <v>0</v>
      </c>
      <c r="AY21" s="35">
        <f t="shared" ref="AY21" si="81">AY19*AY20*AY20/2</f>
        <v>120.19302400000001</v>
      </c>
      <c r="AZ21" s="36" t="s">
        <v>163</v>
      </c>
      <c r="BA21" s="37">
        <f t="shared" ref="BA21" si="82">BA19*BA20*BA20/2</f>
        <v>0</v>
      </c>
      <c r="BB21" s="32">
        <f>BB19*BB20*BB20/2</f>
        <v>0</v>
      </c>
      <c r="BC21" s="33">
        <f t="shared" ref="BC21" si="83">BC19*BC20*BC20/2</f>
        <v>0</v>
      </c>
      <c r="BD21" s="34">
        <f t="shared" ref="BD21" si="84">BD19*BD20*BD20/2</f>
        <v>0</v>
      </c>
      <c r="BE21" s="35">
        <f t="shared" ref="BE21" si="85">BE19*BE20*BE20/2</f>
        <v>0</v>
      </c>
      <c r="BF21" s="36">
        <f t="shared" ref="BF21" si="86">BF19*BF20*BF20/2</f>
        <v>0</v>
      </c>
      <c r="BG21" s="37">
        <f t="shared" ref="BG21" si="87">BG19*BG20*BG20/2</f>
        <v>0</v>
      </c>
    </row>
    <row r="22" spans="1:59">
      <c r="A22" s="31" t="s">
        <v>173</v>
      </c>
      <c r="B22" s="3">
        <v>6.92</v>
      </c>
      <c r="C22" s="4">
        <v>8</v>
      </c>
      <c r="D22" s="5">
        <v>5.29</v>
      </c>
      <c r="E22" s="6">
        <v>8.64</v>
      </c>
      <c r="F22" s="1">
        <v>7.35</v>
      </c>
      <c r="G22" s="7">
        <v>7.32</v>
      </c>
      <c r="H22" s="3">
        <v>8.66</v>
      </c>
      <c r="I22" s="4">
        <v>7.33</v>
      </c>
      <c r="J22" s="5">
        <v>8.09</v>
      </c>
      <c r="K22" s="6">
        <v>7.27</v>
      </c>
      <c r="L22" s="1">
        <v>8.5500000000000007</v>
      </c>
      <c r="M22" s="7">
        <v>7.63</v>
      </c>
      <c r="N22" s="3">
        <v>8.16</v>
      </c>
      <c r="O22" s="4">
        <v>7.7</v>
      </c>
      <c r="P22" s="5">
        <v>8.83</v>
      </c>
      <c r="Q22" s="6">
        <v>7.65</v>
      </c>
      <c r="R22" s="1" t="s">
        <v>163</v>
      </c>
      <c r="S22" s="7">
        <v>8.01</v>
      </c>
      <c r="T22" s="3">
        <v>8.4600000000000009</v>
      </c>
      <c r="U22" s="4">
        <v>8.0399999999999991</v>
      </c>
      <c r="V22" s="5">
        <v>8.84</v>
      </c>
      <c r="W22" s="6">
        <v>7.53</v>
      </c>
      <c r="X22" s="1">
        <v>7.67</v>
      </c>
      <c r="Y22" s="7">
        <v>7.12</v>
      </c>
      <c r="Z22" s="3">
        <v>8.17</v>
      </c>
      <c r="AA22" s="4">
        <v>8.14</v>
      </c>
      <c r="AB22" s="5">
        <v>0</v>
      </c>
      <c r="AC22" s="6">
        <v>5.82</v>
      </c>
      <c r="AD22" s="1">
        <v>7.81</v>
      </c>
      <c r="AE22" s="7">
        <v>0</v>
      </c>
      <c r="AF22" s="3">
        <v>8.17</v>
      </c>
      <c r="AG22" s="4">
        <v>8.84</v>
      </c>
      <c r="AH22" s="5">
        <v>0</v>
      </c>
      <c r="AI22" s="6">
        <v>8.4</v>
      </c>
      <c r="AJ22" s="1">
        <v>8.9499999999999993</v>
      </c>
      <c r="AK22" s="7">
        <v>0</v>
      </c>
      <c r="AL22" s="3">
        <v>10.9</v>
      </c>
      <c r="AM22" s="5">
        <v>8.6999999999999993</v>
      </c>
      <c r="AN22" s="6">
        <v>8.7799999999999994</v>
      </c>
      <c r="AO22" s="7">
        <v>7.72</v>
      </c>
      <c r="AP22" s="3">
        <v>7.41</v>
      </c>
      <c r="AQ22" s="4">
        <v>0</v>
      </c>
      <c r="AR22" s="5">
        <v>0</v>
      </c>
      <c r="AS22" s="6">
        <v>7.85</v>
      </c>
      <c r="AT22" s="1">
        <v>0</v>
      </c>
      <c r="AU22" s="7">
        <v>0</v>
      </c>
      <c r="AV22" s="3">
        <v>7.07</v>
      </c>
      <c r="AW22" s="4">
        <v>0</v>
      </c>
      <c r="AX22" s="5">
        <v>0</v>
      </c>
      <c r="AY22" s="6">
        <v>8.11</v>
      </c>
      <c r="AZ22" s="1" t="s">
        <v>163</v>
      </c>
      <c r="BA22" s="7">
        <v>0</v>
      </c>
      <c r="BB22" s="3">
        <v>0</v>
      </c>
      <c r="BC22" s="4">
        <v>0</v>
      </c>
      <c r="BD22" s="5">
        <v>0</v>
      </c>
      <c r="BE22" s="6">
        <v>0</v>
      </c>
      <c r="BF22" s="1">
        <v>0</v>
      </c>
      <c r="BG22" s="7">
        <v>0</v>
      </c>
    </row>
    <row r="23" spans="1:59">
      <c r="A23" s="31" t="s">
        <v>174</v>
      </c>
      <c r="B23" s="3">
        <v>6.28</v>
      </c>
      <c r="C23" s="4">
        <v>6.23</v>
      </c>
      <c r="D23" s="5">
        <v>5.05</v>
      </c>
      <c r="E23" s="6">
        <v>6.95</v>
      </c>
      <c r="F23" s="1">
        <v>5.66</v>
      </c>
      <c r="G23" s="7">
        <v>6.04</v>
      </c>
      <c r="H23" s="3">
        <v>6.23</v>
      </c>
      <c r="I23" s="4">
        <v>6.14</v>
      </c>
      <c r="J23" s="5">
        <v>5.84</v>
      </c>
      <c r="K23" s="6">
        <v>5.68</v>
      </c>
      <c r="L23" s="1">
        <v>6.68</v>
      </c>
      <c r="M23" s="7">
        <v>5.39</v>
      </c>
      <c r="N23" s="3">
        <v>7.04</v>
      </c>
      <c r="O23" s="4">
        <v>5.1100000000000003</v>
      </c>
      <c r="P23" s="5">
        <v>6.68</v>
      </c>
      <c r="Q23" s="6">
        <v>5.99</v>
      </c>
      <c r="R23" s="1" t="s">
        <v>163</v>
      </c>
      <c r="S23" s="7">
        <v>6.86</v>
      </c>
      <c r="T23" s="3">
        <v>7.01</v>
      </c>
      <c r="U23" s="4">
        <v>6.95</v>
      </c>
      <c r="V23" s="5">
        <v>6.63</v>
      </c>
      <c r="W23" s="6">
        <v>6.52</v>
      </c>
      <c r="X23" s="1">
        <v>5.68</v>
      </c>
      <c r="Y23" s="7">
        <v>6.36</v>
      </c>
      <c r="Z23" s="3">
        <v>6</v>
      </c>
      <c r="AA23" s="4">
        <v>6.54</v>
      </c>
      <c r="AB23" s="5">
        <v>0</v>
      </c>
      <c r="AC23" s="6">
        <v>5.48</v>
      </c>
      <c r="AD23" s="1">
        <v>6.56</v>
      </c>
      <c r="AE23" s="7">
        <v>0</v>
      </c>
      <c r="AF23" s="3">
        <v>6.76</v>
      </c>
      <c r="AG23" s="4">
        <v>7.44</v>
      </c>
      <c r="AH23" s="5">
        <v>0</v>
      </c>
      <c r="AI23" s="6">
        <v>7.77</v>
      </c>
      <c r="AJ23" s="1">
        <v>6.57</v>
      </c>
      <c r="AK23" s="7">
        <v>0</v>
      </c>
      <c r="AL23" s="3">
        <v>8.1999999999999993</v>
      </c>
      <c r="AM23" s="5">
        <v>7.75</v>
      </c>
      <c r="AN23" s="6">
        <v>7.56</v>
      </c>
      <c r="AO23" s="7">
        <v>6.7</v>
      </c>
      <c r="AP23" s="3">
        <v>6.65</v>
      </c>
      <c r="AQ23" s="4">
        <v>0</v>
      </c>
      <c r="AR23" s="5">
        <v>0</v>
      </c>
      <c r="AS23" s="6">
        <v>5.95</v>
      </c>
      <c r="AT23" s="1">
        <v>0</v>
      </c>
      <c r="AU23" s="7">
        <v>0</v>
      </c>
      <c r="AV23" s="3">
        <v>5.88</v>
      </c>
      <c r="AW23" s="4">
        <v>0</v>
      </c>
      <c r="AX23" s="5">
        <v>0</v>
      </c>
      <c r="AY23" s="6">
        <v>5.95</v>
      </c>
      <c r="AZ23" s="1" t="s">
        <v>163</v>
      </c>
      <c r="BA23" s="7">
        <v>0</v>
      </c>
      <c r="BB23" s="3">
        <v>0</v>
      </c>
      <c r="BC23" s="4">
        <v>0</v>
      </c>
      <c r="BD23" s="5">
        <v>0</v>
      </c>
      <c r="BE23" s="6">
        <v>0</v>
      </c>
      <c r="BF23" s="1">
        <v>0</v>
      </c>
      <c r="BG23" s="7">
        <v>0</v>
      </c>
    </row>
    <row r="24" spans="1:59" s="40" customFormat="1">
      <c r="A24" s="31" t="s">
        <v>175</v>
      </c>
      <c r="B24" s="32">
        <f>B22*B23*B23/2</f>
        <v>136.456864</v>
      </c>
      <c r="C24" s="33">
        <f t="shared" ref="C24" si="88">C22*C23*C23/2</f>
        <v>155.25160000000002</v>
      </c>
      <c r="D24" s="34">
        <f t="shared" ref="D24" si="89">D22*D23*D23/2</f>
        <v>67.454112499999994</v>
      </c>
      <c r="E24" s="35">
        <f t="shared" ref="E24" si="90">E22*E23*E23/2</f>
        <v>208.66680000000002</v>
      </c>
      <c r="F24" s="36">
        <f t="shared" ref="F24" si="91">F22*F23*F23/2</f>
        <v>117.73083</v>
      </c>
      <c r="G24" s="37">
        <f t="shared" ref="G24" si="92">G22*G23*G23/2</f>
        <v>133.52265600000001</v>
      </c>
      <c r="H24" s="32">
        <f>H22*H23*H23/2</f>
        <v>168.05985700000002</v>
      </c>
      <c r="I24" s="33">
        <f t="shared" ref="I24" si="93">I22*I23*I23/2</f>
        <v>138.16903399999998</v>
      </c>
      <c r="J24" s="34">
        <f t="shared" ref="J24" si="94">J22*J23*J23/2</f>
        <v>137.95715199999998</v>
      </c>
      <c r="K24" s="35">
        <f t="shared" ref="K24" si="95">K22*K23*K23/2</f>
        <v>117.27382399999999</v>
      </c>
      <c r="L24" s="36">
        <f t="shared" ref="L24" si="96">L22*L23*L23/2</f>
        <v>190.76076</v>
      </c>
      <c r="M24" s="37">
        <f t="shared" ref="M24" si="97">M22*M23*M23/2</f>
        <v>110.83376149999998</v>
      </c>
      <c r="N24" s="32">
        <f>N22*N23*N23/2</f>
        <v>202.21132800000001</v>
      </c>
      <c r="O24" s="33">
        <f t="shared" ref="O24" si="98">O22*O23*O23/2</f>
        <v>100.53158500000001</v>
      </c>
      <c r="P24" s="34">
        <f t="shared" ref="P24" si="99">P22*P23*P23/2</f>
        <v>197.00789599999999</v>
      </c>
      <c r="Q24" s="35">
        <f t="shared" ref="Q24" si="100">Q22*Q23*Q23/2</f>
        <v>137.24138250000001</v>
      </c>
      <c r="R24" s="36" t="s">
        <v>163</v>
      </c>
      <c r="S24" s="37">
        <f t="shared" ref="S24" si="101">S22*S23*S23/2</f>
        <v>188.47369800000001</v>
      </c>
      <c r="T24" s="32">
        <f>T22*T23*T23/2</f>
        <v>207.86262299999999</v>
      </c>
      <c r="U24" s="33">
        <f t="shared" ref="U24" si="102">U22*U23*U23/2</f>
        <v>194.17604999999998</v>
      </c>
      <c r="V24" s="34">
        <f t="shared" ref="V24" si="103">V22*V23*V23/2</f>
        <v>194.28949800000001</v>
      </c>
      <c r="W24" s="35">
        <f t="shared" ref="W24" si="104">W22*W23*W23/2</f>
        <v>160.05165599999998</v>
      </c>
      <c r="X24" s="36">
        <f t="shared" ref="X24" si="105">X22*X23*X23/2</f>
        <v>123.72630399999998</v>
      </c>
      <c r="Y24" s="37">
        <f t="shared" ref="Y24" si="106">Y22*Y23*Y23/2</f>
        <v>144.00057600000002</v>
      </c>
      <c r="Z24" s="32">
        <f>Z22*Z23*Z23/2</f>
        <v>147.06</v>
      </c>
      <c r="AA24" s="33">
        <f t="shared" ref="AA24" si="107">AA22*AA23*AA23/2</f>
        <v>174.08041200000002</v>
      </c>
      <c r="AB24" s="34">
        <f t="shared" ref="AB24" si="108">AB22*AB23*AB23/2</f>
        <v>0</v>
      </c>
      <c r="AC24" s="35">
        <f t="shared" ref="AC24" si="109">AC22*AC23*AC23/2</f>
        <v>87.388464000000013</v>
      </c>
      <c r="AD24" s="36">
        <f t="shared" ref="AD24" si="110">AD22*AD23*AD23/2</f>
        <v>168.04620799999998</v>
      </c>
      <c r="AE24" s="37">
        <f t="shared" ref="AE24" si="111">AE22*AE23*AE23/2</f>
        <v>0</v>
      </c>
      <c r="AF24" s="32">
        <f>AF22*AF23*AF23/2</f>
        <v>186.67469599999998</v>
      </c>
      <c r="AG24" s="33">
        <f t="shared" ref="AG24" si="112">AG22*AG23*AG23/2</f>
        <v>244.66291200000001</v>
      </c>
      <c r="AH24" s="34">
        <f t="shared" ref="AH24" si="113">AH22*AH23*AH23/2</f>
        <v>0</v>
      </c>
      <c r="AI24" s="35">
        <f t="shared" ref="AI24" si="114">AI22*AI23*AI23/2</f>
        <v>253.56618</v>
      </c>
      <c r="AJ24" s="36">
        <f t="shared" ref="AJ24" si="115">AJ22*AJ23*AJ23/2</f>
        <v>193.1629275</v>
      </c>
      <c r="AK24" s="37">
        <f t="shared" ref="AK24" si="116">AK22*AK23*AK23/2</f>
        <v>0</v>
      </c>
      <c r="AL24" s="38">
        <f t="shared" ref="AL24" si="117">AL22*AL23*AL23/2</f>
        <v>366.45799999999997</v>
      </c>
      <c r="AM24" s="39">
        <f t="shared" ref="AM24" si="118">AM22*AM23*AM23/2</f>
        <v>261.27187499999997</v>
      </c>
      <c r="AN24" s="35">
        <f t="shared" ref="AN24" si="119">AN22*AN23*AN23/2</f>
        <v>250.90430399999994</v>
      </c>
      <c r="AO24" s="37">
        <f t="shared" ref="AO24" si="120">AO22*AO23*AO23/2</f>
        <v>173.27539999999999</v>
      </c>
      <c r="AP24" s="32">
        <f>AP22*AP23*AP23/2</f>
        <v>163.84436250000002</v>
      </c>
      <c r="AQ24" s="33">
        <f t="shared" ref="AQ24" si="121">AQ22*AQ23*AQ23/2</f>
        <v>0</v>
      </c>
      <c r="AR24" s="34">
        <f t="shared" ref="AR24" si="122">AR22*AR23*AR23/2</f>
        <v>0</v>
      </c>
      <c r="AS24" s="35">
        <f t="shared" ref="AS24" si="123">AS22*AS23*AS23/2</f>
        <v>138.9548125</v>
      </c>
      <c r="AT24" s="36">
        <f t="shared" ref="AT24" si="124">AT22*AT23*AT23/2</f>
        <v>0</v>
      </c>
      <c r="AU24" s="37">
        <f t="shared" ref="AU24" si="125">AU22*AU23*AU23/2</f>
        <v>0</v>
      </c>
      <c r="AV24" s="32">
        <f>AV22*AV23*AV23/2</f>
        <v>122.22050400000001</v>
      </c>
      <c r="AW24" s="33">
        <f t="shared" ref="AW24" si="126">AW22*AW23*AW23/2</f>
        <v>0</v>
      </c>
      <c r="AX24" s="34">
        <f t="shared" ref="AX24" si="127">AX22*AX23*AX23/2</f>
        <v>0</v>
      </c>
      <c r="AY24" s="35">
        <f t="shared" ref="AY24" si="128">AY22*AY23*AY23/2</f>
        <v>143.55713750000001</v>
      </c>
      <c r="AZ24" s="36" t="s">
        <v>163</v>
      </c>
      <c r="BA24" s="37">
        <f t="shared" ref="BA24" si="129">BA22*BA23*BA23/2</f>
        <v>0</v>
      </c>
      <c r="BB24" s="32">
        <f>BB22*BB23*BB23/2</f>
        <v>0</v>
      </c>
      <c r="BC24" s="33">
        <f t="shared" ref="BC24" si="130">BC22*BC23*BC23/2</f>
        <v>0</v>
      </c>
      <c r="BD24" s="34">
        <f t="shared" ref="BD24" si="131">BD22*BD23*BD23/2</f>
        <v>0</v>
      </c>
      <c r="BE24" s="35">
        <f t="shared" ref="BE24" si="132">BE22*BE23*BE23/2</f>
        <v>0</v>
      </c>
      <c r="BF24" s="36">
        <f t="shared" ref="BF24" si="133">BF22*BF23*BF23/2</f>
        <v>0</v>
      </c>
      <c r="BG24" s="37">
        <f t="shared" ref="BG24" si="134">BG22*BG23*BG23/2</f>
        <v>0</v>
      </c>
    </row>
    <row r="25" spans="1:59">
      <c r="A25" s="31" t="s">
        <v>176</v>
      </c>
      <c r="B25" s="3">
        <v>7.09</v>
      </c>
      <c r="C25" s="4">
        <v>8.57</v>
      </c>
      <c r="D25" s="5">
        <v>6.17</v>
      </c>
      <c r="E25" s="6">
        <v>5.96</v>
      </c>
      <c r="F25" s="1">
        <v>5.59</v>
      </c>
      <c r="G25" s="7">
        <v>6.97</v>
      </c>
      <c r="H25" s="3">
        <v>6.11</v>
      </c>
      <c r="I25" s="4">
        <v>5.79</v>
      </c>
      <c r="J25" s="5">
        <v>6.64</v>
      </c>
      <c r="K25" s="6">
        <v>6.42</v>
      </c>
      <c r="L25" s="1">
        <v>6.48</v>
      </c>
      <c r="M25" s="7">
        <v>5.82</v>
      </c>
      <c r="N25" s="3">
        <v>8.2799999999999994</v>
      </c>
      <c r="O25" s="4">
        <v>5.71</v>
      </c>
      <c r="P25" s="5">
        <v>5.92</v>
      </c>
      <c r="Q25" s="6">
        <v>6.34</v>
      </c>
      <c r="R25" s="1" t="s">
        <v>163</v>
      </c>
      <c r="S25" s="7">
        <v>6.65</v>
      </c>
      <c r="T25" s="3">
        <v>7.56</v>
      </c>
      <c r="U25" s="4">
        <v>5.54</v>
      </c>
      <c r="V25" s="5">
        <v>7.14</v>
      </c>
      <c r="W25" s="6">
        <v>6.24</v>
      </c>
      <c r="X25" s="1">
        <v>6.57</v>
      </c>
      <c r="Y25" s="7">
        <v>6.59</v>
      </c>
      <c r="Z25" s="3">
        <v>5.0999999999999996</v>
      </c>
      <c r="AA25" s="4">
        <v>5.35</v>
      </c>
      <c r="AB25" s="5">
        <v>0</v>
      </c>
      <c r="AC25" s="6">
        <v>5.84</v>
      </c>
      <c r="AD25" s="1">
        <v>5.67</v>
      </c>
      <c r="AE25" s="7">
        <v>0</v>
      </c>
      <c r="AF25" s="3">
        <v>7.19</v>
      </c>
      <c r="AG25" s="4">
        <v>8.27</v>
      </c>
      <c r="AH25" s="5">
        <v>0</v>
      </c>
      <c r="AI25" s="6">
        <v>5.99</v>
      </c>
      <c r="AJ25" s="1">
        <v>6.25</v>
      </c>
      <c r="AK25" s="7">
        <v>0</v>
      </c>
      <c r="AL25" s="3">
        <v>9.26</v>
      </c>
      <c r="AM25" s="5">
        <v>7.13</v>
      </c>
      <c r="AN25" s="6">
        <v>6.46</v>
      </c>
      <c r="AO25" s="7">
        <v>7.09</v>
      </c>
      <c r="AP25" s="3">
        <v>6.5</v>
      </c>
      <c r="AQ25" s="4">
        <v>0</v>
      </c>
      <c r="AR25" s="5">
        <v>0</v>
      </c>
      <c r="AS25" s="6">
        <v>5.44</v>
      </c>
      <c r="AT25" s="1">
        <v>0</v>
      </c>
      <c r="AU25" s="7">
        <v>0</v>
      </c>
      <c r="AV25" s="3">
        <v>6.09</v>
      </c>
      <c r="AW25" s="4">
        <v>0</v>
      </c>
      <c r="AX25" s="5">
        <v>0</v>
      </c>
      <c r="AY25" s="6">
        <v>5.3</v>
      </c>
      <c r="AZ25" s="1" t="s">
        <v>163</v>
      </c>
      <c r="BA25" s="7">
        <v>0</v>
      </c>
      <c r="BB25" s="3">
        <v>0</v>
      </c>
      <c r="BC25" s="4">
        <v>0</v>
      </c>
      <c r="BD25" s="5">
        <v>0</v>
      </c>
      <c r="BE25" s="6">
        <v>0</v>
      </c>
      <c r="BF25" s="1">
        <v>0</v>
      </c>
      <c r="BG25" s="7">
        <v>0</v>
      </c>
    </row>
    <row r="26" spans="1:59">
      <c r="A26" s="31" t="s">
        <v>177</v>
      </c>
      <c r="B26" s="3">
        <v>4.76</v>
      </c>
      <c r="C26" s="4">
        <v>5.4</v>
      </c>
      <c r="D26" s="5">
        <v>4.43</v>
      </c>
      <c r="E26" s="6">
        <v>5.28</v>
      </c>
      <c r="F26" s="1">
        <v>4.6900000000000004</v>
      </c>
      <c r="G26" s="7">
        <v>5.52</v>
      </c>
      <c r="H26" s="3">
        <v>5.21</v>
      </c>
      <c r="I26" s="4">
        <v>5.09</v>
      </c>
      <c r="J26" s="5">
        <v>5.91</v>
      </c>
      <c r="K26" s="6">
        <v>5.1100000000000003</v>
      </c>
      <c r="L26" s="1">
        <v>5.07</v>
      </c>
      <c r="M26" s="7">
        <v>5.51</v>
      </c>
      <c r="N26" s="3">
        <v>6.04</v>
      </c>
      <c r="O26" s="4">
        <v>5.01</v>
      </c>
      <c r="P26" s="5">
        <v>5.75</v>
      </c>
      <c r="Q26" s="6">
        <v>6.08</v>
      </c>
      <c r="R26" s="1" t="s">
        <v>163</v>
      </c>
      <c r="S26" s="7">
        <v>5.38</v>
      </c>
      <c r="T26" s="3">
        <v>7.04</v>
      </c>
      <c r="U26" s="4">
        <v>5.07</v>
      </c>
      <c r="V26" s="5">
        <v>5.79</v>
      </c>
      <c r="W26" s="6">
        <v>5.29</v>
      </c>
      <c r="X26" s="1">
        <v>5.97</v>
      </c>
      <c r="Y26" s="7">
        <v>6.36</v>
      </c>
      <c r="Z26" s="3">
        <v>4.51</v>
      </c>
      <c r="AA26" s="4">
        <v>5.28</v>
      </c>
      <c r="AB26" s="5">
        <v>0</v>
      </c>
      <c r="AC26" s="6">
        <v>5.24</v>
      </c>
      <c r="AD26" s="1">
        <v>4.6900000000000004</v>
      </c>
      <c r="AE26" s="7">
        <v>0</v>
      </c>
      <c r="AF26" s="3">
        <v>6.96</v>
      </c>
      <c r="AG26" s="4">
        <v>7.22</v>
      </c>
      <c r="AH26" s="5">
        <v>0</v>
      </c>
      <c r="AI26" s="6">
        <v>5.4</v>
      </c>
      <c r="AJ26" s="1">
        <v>4.91</v>
      </c>
      <c r="AK26" s="7">
        <v>0</v>
      </c>
      <c r="AL26" s="3">
        <v>6.69</v>
      </c>
      <c r="AM26" s="5">
        <v>5.84</v>
      </c>
      <c r="AN26" s="6">
        <v>4.6100000000000003</v>
      </c>
      <c r="AO26" s="7">
        <v>5.9</v>
      </c>
      <c r="AP26" s="3">
        <v>6.31</v>
      </c>
      <c r="AQ26" s="4">
        <v>0</v>
      </c>
      <c r="AR26" s="5">
        <v>0</v>
      </c>
      <c r="AS26" s="6">
        <v>4.1500000000000004</v>
      </c>
      <c r="AT26" s="1">
        <v>0</v>
      </c>
      <c r="AU26" s="7">
        <v>0</v>
      </c>
      <c r="AV26" s="3">
        <v>5.8</v>
      </c>
      <c r="AW26" s="4">
        <v>0</v>
      </c>
      <c r="AX26" s="5">
        <v>0</v>
      </c>
      <c r="AY26" s="6">
        <v>5.31</v>
      </c>
      <c r="AZ26" s="1" t="s">
        <v>163</v>
      </c>
      <c r="BA26" s="7">
        <v>0</v>
      </c>
      <c r="BB26" s="3">
        <v>0</v>
      </c>
      <c r="BC26" s="4">
        <v>0</v>
      </c>
      <c r="BD26" s="5">
        <v>0</v>
      </c>
      <c r="BE26" s="6">
        <v>0</v>
      </c>
      <c r="BF26" s="1">
        <v>0</v>
      </c>
      <c r="BG26" s="7">
        <v>0</v>
      </c>
    </row>
    <row r="27" spans="1:59" s="40" customFormat="1">
      <c r="A27" s="31" t="s">
        <v>178</v>
      </c>
      <c r="B27" s="32">
        <f>B25*B26*B26/2</f>
        <v>80.321191999999982</v>
      </c>
      <c r="C27" s="33">
        <f t="shared" ref="C27:G27" si="135">C25*C26*C26/2</f>
        <v>124.95060000000002</v>
      </c>
      <c r="D27" s="34">
        <f t="shared" si="135"/>
        <v>60.542816499999994</v>
      </c>
      <c r="E27" s="35">
        <f t="shared" si="135"/>
        <v>83.077632000000008</v>
      </c>
      <c r="F27" s="36">
        <f t="shared" si="135"/>
        <v>61.479099500000011</v>
      </c>
      <c r="G27" s="37">
        <f t="shared" si="135"/>
        <v>106.18934399999998</v>
      </c>
      <c r="H27" s="32">
        <f>H25*H26*H26/2</f>
        <v>82.92522550000001</v>
      </c>
      <c r="I27" s="33">
        <f t="shared" ref="I27:M27" si="136">I25*I26*I26/2</f>
        <v>75.003949500000004</v>
      </c>
      <c r="J27" s="34">
        <f t="shared" si="136"/>
        <v>115.96129199999999</v>
      </c>
      <c r="K27" s="35">
        <f t="shared" si="136"/>
        <v>83.819841000000011</v>
      </c>
      <c r="L27" s="36">
        <f t="shared" si="136"/>
        <v>83.283876000000021</v>
      </c>
      <c r="M27" s="37">
        <f t="shared" si="136"/>
        <v>88.34789099999999</v>
      </c>
      <c r="N27" s="32">
        <f>N25*N26*N26/2</f>
        <v>151.03382399999998</v>
      </c>
      <c r="O27" s="33">
        <f t="shared" ref="O27:Q27" si="137">O25*O26*O26/2</f>
        <v>71.660785499999989</v>
      </c>
      <c r="P27" s="34">
        <f t="shared" si="137"/>
        <v>97.864999999999995</v>
      </c>
      <c r="Q27" s="35">
        <f t="shared" si="137"/>
        <v>117.183488</v>
      </c>
      <c r="R27" s="36" t="s">
        <v>163</v>
      </c>
      <c r="S27" s="37">
        <f t="shared" ref="S27" si="138">S25*S26*S26/2</f>
        <v>96.240130000000008</v>
      </c>
      <c r="T27" s="32">
        <f>T25*T26*T26/2</f>
        <v>187.342848</v>
      </c>
      <c r="U27" s="33">
        <f t="shared" ref="U27:Y27" si="139">U25*U26*U26/2</f>
        <v>71.202573000000001</v>
      </c>
      <c r="V27" s="34">
        <f t="shared" si="139"/>
        <v>119.68103699999999</v>
      </c>
      <c r="W27" s="35">
        <f t="shared" si="139"/>
        <v>87.310391999999993</v>
      </c>
      <c r="X27" s="36">
        <f t="shared" si="139"/>
        <v>117.08035650000001</v>
      </c>
      <c r="Y27" s="37">
        <f t="shared" si="139"/>
        <v>133.281432</v>
      </c>
      <c r="Z27" s="32">
        <f>Z25*Z26*Z26/2</f>
        <v>51.867254999999993</v>
      </c>
      <c r="AA27" s="33">
        <f t="shared" ref="AA27:AE27" si="140">AA25*AA26*AA26/2</f>
        <v>74.574720000000013</v>
      </c>
      <c r="AB27" s="34">
        <f t="shared" si="140"/>
        <v>0</v>
      </c>
      <c r="AC27" s="35">
        <f t="shared" si="140"/>
        <v>80.176192</v>
      </c>
      <c r="AD27" s="36">
        <f t="shared" si="140"/>
        <v>62.358943500000009</v>
      </c>
      <c r="AE27" s="37">
        <f t="shared" si="140"/>
        <v>0</v>
      </c>
      <c r="AF27" s="32">
        <f>AF25*AF26*AF26/2</f>
        <v>174.14755199999999</v>
      </c>
      <c r="AG27" s="33">
        <f t="shared" ref="AG27:AO27" si="141">AG25*AG26*AG26/2</f>
        <v>215.55093399999998</v>
      </c>
      <c r="AH27" s="34">
        <f t="shared" si="141"/>
        <v>0</v>
      </c>
      <c r="AI27" s="35">
        <f t="shared" si="141"/>
        <v>87.33420000000001</v>
      </c>
      <c r="AJ27" s="36">
        <f t="shared" si="141"/>
        <v>75.337812499999998</v>
      </c>
      <c r="AK27" s="37">
        <f t="shared" si="141"/>
        <v>0</v>
      </c>
      <c r="AL27" s="38">
        <f t="shared" si="141"/>
        <v>207.22074300000003</v>
      </c>
      <c r="AM27" s="39">
        <f t="shared" si="141"/>
        <v>121.58646399999998</v>
      </c>
      <c r="AN27" s="35">
        <f t="shared" si="141"/>
        <v>68.644283000000016</v>
      </c>
      <c r="AO27" s="37">
        <f t="shared" si="141"/>
        <v>123.40145000000001</v>
      </c>
      <c r="AP27" s="32">
        <f>AP25*AP26*AP26/2</f>
        <v>129.40232499999999</v>
      </c>
      <c r="AQ27" s="33">
        <f t="shared" ref="AQ27:AU27" si="142">AQ25*AQ26*AQ26/2</f>
        <v>0</v>
      </c>
      <c r="AR27" s="34">
        <f t="shared" si="142"/>
        <v>0</v>
      </c>
      <c r="AS27" s="35">
        <f t="shared" si="142"/>
        <v>46.845200000000013</v>
      </c>
      <c r="AT27" s="36">
        <f t="shared" si="142"/>
        <v>0</v>
      </c>
      <c r="AU27" s="37">
        <f t="shared" si="142"/>
        <v>0</v>
      </c>
      <c r="AV27" s="32">
        <f>AV25*AV26*AV26/2</f>
        <v>102.43379999999999</v>
      </c>
      <c r="AW27" s="33">
        <f t="shared" ref="AW27:AY27" si="143">AW25*AW26*AW26/2</f>
        <v>0</v>
      </c>
      <c r="AX27" s="34">
        <f t="shared" si="143"/>
        <v>0</v>
      </c>
      <c r="AY27" s="35">
        <f t="shared" si="143"/>
        <v>74.719664999999992</v>
      </c>
      <c r="AZ27" s="36" t="s">
        <v>163</v>
      </c>
      <c r="BA27" s="37">
        <f t="shared" ref="BA27" si="144">BA25*BA26*BA26/2</f>
        <v>0</v>
      </c>
      <c r="BB27" s="32">
        <f>BB25*BB26*BB26/2</f>
        <v>0</v>
      </c>
      <c r="BC27" s="33">
        <f t="shared" ref="BC27:BG27" si="145">BC25*BC26*BC26/2</f>
        <v>0</v>
      </c>
      <c r="BD27" s="34">
        <f t="shared" si="145"/>
        <v>0</v>
      </c>
      <c r="BE27" s="35">
        <f t="shared" si="145"/>
        <v>0</v>
      </c>
      <c r="BF27" s="36">
        <f t="shared" si="145"/>
        <v>0</v>
      </c>
      <c r="BG27" s="37">
        <f t="shared" si="145"/>
        <v>0</v>
      </c>
    </row>
    <row r="28" spans="1:59">
      <c r="A28" s="31" t="s">
        <v>179</v>
      </c>
      <c r="B28" s="3">
        <v>8.5500000000000007</v>
      </c>
      <c r="C28" s="4">
        <v>10.47</v>
      </c>
      <c r="D28" s="5">
        <v>6.85</v>
      </c>
      <c r="E28" s="6">
        <v>7.59</v>
      </c>
      <c r="F28" s="1">
        <v>12.29</v>
      </c>
      <c r="G28" s="7">
        <v>8.75</v>
      </c>
      <c r="H28" s="3">
        <v>9.77</v>
      </c>
      <c r="I28" s="4">
        <v>9.36</v>
      </c>
      <c r="J28" s="5">
        <v>9.34</v>
      </c>
      <c r="K28" s="6">
        <v>9.43</v>
      </c>
      <c r="L28" s="1">
        <v>7.97</v>
      </c>
      <c r="M28" s="7">
        <v>7.73</v>
      </c>
      <c r="N28" s="3">
        <v>9.9600000000000009</v>
      </c>
      <c r="O28" s="4">
        <v>9.34</v>
      </c>
      <c r="P28" s="5">
        <v>10.220000000000001</v>
      </c>
      <c r="Q28" s="6">
        <v>8.93</v>
      </c>
      <c r="R28" s="1" t="s">
        <v>163</v>
      </c>
      <c r="S28" s="7">
        <v>9.8000000000000007</v>
      </c>
      <c r="T28" s="3">
        <v>10.34</v>
      </c>
      <c r="U28" s="4">
        <v>9.25</v>
      </c>
      <c r="V28" s="5">
        <v>9.3000000000000007</v>
      </c>
      <c r="W28" s="6">
        <v>9.7799999999999994</v>
      </c>
      <c r="X28" s="1">
        <v>7.52</v>
      </c>
      <c r="Y28" s="7">
        <v>8.7899999999999991</v>
      </c>
      <c r="Z28" s="3">
        <v>8.9</v>
      </c>
      <c r="AA28" s="4">
        <v>7.75</v>
      </c>
      <c r="AB28" s="5">
        <v>0</v>
      </c>
      <c r="AC28" s="6">
        <v>6.68</v>
      </c>
      <c r="AD28" s="1">
        <v>9.7799999999999994</v>
      </c>
      <c r="AE28" s="7">
        <v>0</v>
      </c>
      <c r="AF28" s="3">
        <v>9.86</v>
      </c>
      <c r="AG28" s="4">
        <v>9.19</v>
      </c>
      <c r="AH28" s="5">
        <v>0</v>
      </c>
      <c r="AI28" s="6">
        <v>8.0500000000000007</v>
      </c>
      <c r="AJ28" s="1">
        <v>9.11</v>
      </c>
      <c r="AK28" s="7">
        <v>0</v>
      </c>
      <c r="AL28" s="3">
        <v>10.3</v>
      </c>
      <c r="AM28" s="5">
        <v>9.1999999999999993</v>
      </c>
      <c r="AN28" s="6">
        <v>7.17</v>
      </c>
      <c r="AO28" s="7">
        <v>8.5299999999999994</v>
      </c>
      <c r="AP28" s="3">
        <v>9.2899999999999991</v>
      </c>
      <c r="AQ28" s="4">
        <v>0</v>
      </c>
      <c r="AR28" s="5">
        <v>0</v>
      </c>
      <c r="AS28" s="6">
        <v>6.83</v>
      </c>
      <c r="AT28" s="1">
        <v>0</v>
      </c>
      <c r="AU28" s="7">
        <v>0</v>
      </c>
      <c r="AV28" s="3">
        <v>7.82</v>
      </c>
      <c r="AW28" s="4">
        <v>0</v>
      </c>
      <c r="AX28" s="5">
        <v>0</v>
      </c>
      <c r="AY28" s="6">
        <v>8.6199999999999992</v>
      </c>
      <c r="AZ28" s="1" t="s">
        <v>163</v>
      </c>
      <c r="BA28" s="7">
        <v>0</v>
      </c>
      <c r="BB28" s="3">
        <v>0</v>
      </c>
      <c r="BC28" s="4">
        <v>0</v>
      </c>
      <c r="BD28" s="5">
        <v>0</v>
      </c>
      <c r="BE28" s="6">
        <v>0</v>
      </c>
      <c r="BF28" s="1">
        <v>0</v>
      </c>
      <c r="BG28" s="7">
        <v>0</v>
      </c>
    </row>
    <row r="29" spans="1:59">
      <c r="A29" s="31" t="s">
        <v>180</v>
      </c>
      <c r="B29" s="3">
        <v>7.73</v>
      </c>
      <c r="C29" s="4">
        <v>6.47</v>
      </c>
      <c r="D29" s="5">
        <v>5.7</v>
      </c>
      <c r="E29" s="6">
        <v>6.88</v>
      </c>
      <c r="F29" s="1">
        <v>9.5299999999999994</v>
      </c>
      <c r="G29" s="7">
        <v>7.91</v>
      </c>
      <c r="H29" s="3">
        <v>8.25</v>
      </c>
      <c r="I29" s="4">
        <v>7.4</v>
      </c>
      <c r="J29" s="5">
        <v>7.37</v>
      </c>
      <c r="K29" s="6">
        <v>7.85</v>
      </c>
      <c r="L29" s="1">
        <v>6.8</v>
      </c>
      <c r="M29" s="7">
        <v>6.87</v>
      </c>
      <c r="N29" s="3">
        <v>7.59</v>
      </c>
      <c r="O29" s="4">
        <v>7.69</v>
      </c>
      <c r="P29" s="5">
        <v>7.77</v>
      </c>
      <c r="Q29" s="6">
        <v>6.51</v>
      </c>
      <c r="R29" s="1" t="s">
        <v>163</v>
      </c>
      <c r="S29" s="7">
        <v>8.1199999999999992</v>
      </c>
      <c r="T29" s="3">
        <v>9.0399999999999991</v>
      </c>
      <c r="U29" s="4">
        <v>6.56</v>
      </c>
      <c r="V29" s="5">
        <v>7.19</v>
      </c>
      <c r="W29" s="6">
        <v>6.64</v>
      </c>
      <c r="X29" s="1">
        <v>5.99</v>
      </c>
      <c r="Y29" s="7">
        <v>7.97</v>
      </c>
      <c r="Z29" s="3">
        <v>5.59</v>
      </c>
      <c r="AA29" s="4">
        <v>5.97</v>
      </c>
      <c r="AB29" s="5">
        <v>0</v>
      </c>
      <c r="AC29" s="6">
        <v>5.69</v>
      </c>
      <c r="AD29" s="1">
        <v>6.66</v>
      </c>
      <c r="AE29" s="7">
        <v>0</v>
      </c>
      <c r="AF29" s="3">
        <v>7.75</v>
      </c>
      <c r="AG29" s="4">
        <v>8.5500000000000007</v>
      </c>
      <c r="AH29" s="5">
        <v>0</v>
      </c>
      <c r="AI29" s="6">
        <v>6.01</v>
      </c>
      <c r="AJ29" s="1">
        <v>7.56</v>
      </c>
      <c r="AK29" s="7">
        <v>0</v>
      </c>
      <c r="AL29" s="3">
        <v>8.74</v>
      </c>
      <c r="AM29" s="5">
        <v>7.71</v>
      </c>
      <c r="AN29" s="6">
        <v>5.79</v>
      </c>
      <c r="AO29" s="7">
        <v>7.24</v>
      </c>
      <c r="AP29" s="3">
        <v>6.32</v>
      </c>
      <c r="AQ29" s="4">
        <v>0</v>
      </c>
      <c r="AR29" s="5">
        <v>0</v>
      </c>
      <c r="AS29" s="6">
        <v>5.78</v>
      </c>
      <c r="AT29" s="1">
        <v>0</v>
      </c>
      <c r="AU29" s="7">
        <v>0</v>
      </c>
      <c r="AV29" s="3">
        <v>6.87</v>
      </c>
      <c r="AW29" s="4">
        <v>0</v>
      </c>
      <c r="AX29" s="5">
        <v>0</v>
      </c>
      <c r="AY29" s="6">
        <v>6.88</v>
      </c>
      <c r="AZ29" s="1" t="s">
        <v>163</v>
      </c>
      <c r="BA29" s="7">
        <v>0</v>
      </c>
      <c r="BB29" s="3">
        <v>0</v>
      </c>
      <c r="BC29" s="4">
        <v>0</v>
      </c>
      <c r="BD29" s="5">
        <v>0</v>
      </c>
      <c r="BE29" s="6">
        <v>0</v>
      </c>
      <c r="BF29" s="1">
        <v>0</v>
      </c>
      <c r="BG29" s="7">
        <v>0</v>
      </c>
    </row>
    <row r="30" spans="1:59" s="40" customFormat="1">
      <c r="A30" s="31" t="s">
        <v>181</v>
      </c>
      <c r="B30" s="32">
        <f>B28*B29*B29/2</f>
        <v>255.44364750000005</v>
      </c>
      <c r="C30" s="33">
        <f t="shared" ref="C30:G30" si="146">C28*C29*C29/2</f>
        <v>219.14181149999999</v>
      </c>
      <c r="D30" s="34">
        <f t="shared" si="146"/>
        <v>111.27825000000001</v>
      </c>
      <c r="E30" s="35">
        <f t="shared" si="146"/>
        <v>179.63404800000001</v>
      </c>
      <c r="F30" s="36">
        <f t="shared" si="146"/>
        <v>558.09443049999993</v>
      </c>
      <c r="G30" s="37">
        <f t="shared" si="146"/>
        <v>273.73543750000005</v>
      </c>
      <c r="H30" s="32">
        <f>H28*H29*H29/2</f>
        <v>332.48531249999996</v>
      </c>
      <c r="I30" s="33">
        <f t="shared" ref="I30:M30" si="147">I28*I29*I29/2</f>
        <v>256.27679999999998</v>
      </c>
      <c r="J30" s="34">
        <f t="shared" si="147"/>
        <v>253.65992300000002</v>
      </c>
      <c r="K30" s="35">
        <f t="shared" si="147"/>
        <v>290.55008749999996</v>
      </c>
      <c r="L30" s="36">
        <f t="shared" si="147"/>
        <v>184.26639999999998</v>
      </c>
      <c r="M30" s="37">
        <f t="shared" si="147"/>
        <v>182.41601850000004</v>
      </c>
      <c r="N30" s="32">
        <f>N28*N29*N29/2</f>
        <v>286.88833800000003</v>
      </c>
      <c r="O30" s="33">
        <f t="shared" ref="O30:Q30" si="148">O28*O29*O29/2</f>
        <v>276.16558700000002</v>
      </c>
      <c r="P30" s="34">
        <f t="shared" si="148"/>
        <v>308.50551899999999</v>
      </c>
      <c r="Q30" s="35">
        <f t="shared" si="148"/>
        <v>189.22714649999998</v>
      </c>
      <c r="R30" s="36" t="s">
        <v>163</v>
      </c>
      <c r="S30" s="37">
        <f t="shared" ref="S30" si="149">S28*S29*S29/2</f>
        <v>323.07855999999992</v>
      </c>
      <c r="T30" s="32">
        <f>T28*T29*T29/2</f>
        <v>422.50067199999989</v>
      </c>
      <c r="U30" s="33">
        <f t="shared" ref="U30:Y30" si="150">U28*U29*U29/2</f>
        <v>199.03039999999999</v>
      </c>
      <c r="V30" s="34">
        <f t="shared" si="150"/>
        <v>240.38686500000003</v>
      </c>
      <c r="W30" s="35">
        <f t="shared" si="150"/>
        <v>215.59814399999999</v>
      </c>
      <c r="X30" s="36">
        <f t="shared" si="150"/>
        <v>134.909176</v>
      </c>
      <c r="Y30" s="37">
        <f t="shared" si="150"/>
        <v>279.17435549999999</v>
      </c>
      <c r="Z30" s="32">
        <f>Z28*Z29*Z29/2</f>
        <v>139.054045</v>
      </c>
      <c r="AA30" s="33">
        <f t="shared" ref="AA30:AE30" si="151">AA28*AA29*AA29/2</f>
        <v>138.1084875</v>
      </c>
      <c r="AB30" s="34">
        <f t="shared" si="151"/>
        <v>0</v>
      </c>
      <c r="AC30" s="35">
        <f t="shared" si="151"/>
        <v>108.13617400000001</v>
      </c>
      <c r="AD30" s="36">
        <f t="shared" si="151"/>
        <v>216.89888400000001</v>
      </c>
      <c r="AE30" s="37">
        <f t="shared" si="151"/>
        <v>0</v>
      </c>
      <c r="AF30" s="32">
        <f>AF28*AF29*AF29/2</f>
        <v>296.10812499999997</v>
      </c>
      <c r="AG30" s="33">
        <f t="shared" ref="AG30:AO30" si="152">AG28*AG29*AG29/2</f>
        <v>335.90598750000004</v>
      </c>
      <c r="AH30" s="34">
        <f t="shared" si="152"/>
        <v>0</v>
      </c>
      <c r="AI30" s="35">
        <f t="shared" si="152"/>
        <v>145.38340250000002</v>
      </c>
      <c r="AJ30" s="36">
        <f t="shared" si="152"/>
        <v>260.33464799999996</v>
      </c>
      <c r="AK30" s="37">
        <f t="shared" si="152"/>
        <v>0</v>
      </c>
      <c r="AL30" s="38">
        <f t="shared" si="152"/>
        <v>393.39614000000006</v>
      </c>
      <c r="AM30" s="39">
        <f t="shared" si="152"/>
        <v>273.44285999999994</v>
      </c>
      <c r="AN30" s="35">
        <f t="shared" si="152"/>
        <v>120.1838985</v>
      </c>
      <c r="AO30" s="37">
        <f t="shared" si="152"/>
        <v>223.56106399999999</v>
      </c>
      <c r="AP30" s="32">
        <f>AP28*AP29*AP29/2</f>
        <v>185.53244799999999</v>
      </c>
      <c r="AQ30" s="33">
        <f t="shared" ref="AQ30:AU30" si="153">AQ28*AQ29*AQ29/2</f>
        <v>0</v>
      </c>
      <c r="AR30" s="34">
        <f t="shared" si="153"/>
        <v>0</v>
      </c>
      <c r="AS30" s="35">
        <f t="shared" si="153"/>
        <v>114.08968600000001</v>
      </c>
      <c r="AT30" s="36">
        <f t="shared" si="153"/>
        <v>0</v>
      </c>
      <c r="AU30" s="37">
        <f t="shared" si="153"/>
        <v>0</v>
      </c>
      <c r="AV30" s="32">
        <f>AV28*AV29*AV29/2</f>
        <v>184.53987900000001</v>
      </c>
      <c r="AW30" s="33">
        <f t="shared" ref="AW30:AY30" si="154">AW28*AW29*AW29/2</f>
        <v>0</v>
      </c>
      <c r="AX30" s="34">
        <f t="shared" si="154"/>
        <v>0</v>
      </c>
      <c r="AY30" s="35">
        <f t="shared" si="154"/>
        <v>204.01126399999995</v>
      </c>
      <c r="AZ30" s="36" t="s">
        <v>163</v>
      </c>
      <c r="BA30" s="37">
        <f t="shared" ref="BA30" si="155">BA28*BA29*BA29/2</f>
        <v>0</v>
      </c>
      <c r="BB30" s="32">
        <f>BB28*BB29*BB29/2</f>
        <v>0</v>
      </c>
      <c r="BC30" s="33">
        <f t="shared" ref="BC30:BG30" si="156">BC28*BC29*BC29/2</f>
        <v>0</v>
      </c>
      <c r="BD30" s="34">
        <f t="shared" si="156"/>
        <v>0</v>
      </c>
      <c r="BE30" s="35">
        <f t="shared" si="156"/>
        <v>0</v>
      </c>
      <c r="BF30" s="36">
        <f t="shared" si="156"/>
        <v>0</v>
      </c>
      <c r="BG30" s="37">
        <f t="shared" si="156"/>
        <v>0</v>
      </c>
    </row>
    <row r="31" spans="1:59">
      <c r="A31" s="31" t="s">
        <v>182</v>
      </c>
      <c r="B31" s="3">
        <v>9.2899999999999991</v>
      </c>
      <c r="C31" s="4">
        <v>10.08</v>
      </c>
      <c r="D31" s="5">
        <v>9.51</v>
      </c>
      <c r="E31" s="6">
        <v>10.050000000000001</v>
      </c>
      <c r="F31" s="1">
        <v>10.69</v>
      </c>
      <c r="G31" s="7">
        <v>11.32</v>
      </c>
      <c r="H31" s="3">
        <v>9.5</v>
      </c>
      <c r="I31" s="4">
        <v>8.0500000000000007</v>
      </c>
      <c r="J31" s="5">
        <v>10.98</v>
      </c>
      <c r="K31" s="6">
        <v>10.76</v>
      </c>
      <c r="L31" s="1">
        <v>10.76</v>
      </c>
      <c r="M31" s="7">
        <v>8.35</v>
      </c>
      <c r="N31" s="3">
        <v>11.54</v>
      </c>
      <c r="O31" s="4">
        <v>9.7100000000000009</v>
      </c>
      <c r="P31" s="5">
        <v>12.33</v>
      </c>
      <c r="Q31" s="6">
        <v>9.4600000000000009</v>
      </c>
      <c r="R31" s="1" t="s">
        <v>163</v>
      </c>
      <c r="S31" s="7">
        <v>12.51</v>
      </c>
      <c r="T31" s="3">
        <v>13.35</v>
      </c>
      <c r="U31" s="4">
        <v>11.81</v>
      </c>
      <c r="V31" s="5">
        <v>11.32</v>
      </c>
      <c r="W31" s="6">
        <v>9.86</v>
      </c>
      <c r="X31" s="1">
        <v>8.2100000000000009</v>
      </c>
      <c r="Y31" s="7">
        <v>10.17</v>
      </c>
      <c r="Z31" s="3">
        <v>8.1</v>
      </c>
      <c r="AA31" s="4">
        <v>8.5399999999999991</v>
      </c>
      <c r="AB31" s="5">
        <v>0</v>
      </c>
      <c r="AC31" s="6">
        <v>9.1999999999999993</v>
      </c>
      <c r="AD31" s="1">
        <v>10.31</v>
      </c>
      <c r="AE31" s="7">
        <v>0</v>
      </c>
      <c r="AF31" s="3">
        <v>10.6</v>
      </c>
      <c r="AG31" s="4">
        <v>12.14</v>
      </c>
      <c r="AH31" s="5">
        <v>0</v>
      </c>
      <c r="AI31" s="6">
        <v>10.48</v>
      </c>
      <c r="AJ31" s="1">
        <v>10.41</v>
      </c>
      <c r="AK31" s="7">
        <v>0</v>
      </c>
      <c r="AL31" s="3">
        <v>12.09</v>
      </c>
      <c r="AM31" s="5">
        <v>8.15</v>
      </c>
      <c r="AN31" s="6">
        <v>9.49</v>
      </c>
      <c r="AO31" s="7">
        <v>10.199999999999999</v>
      </c>
      <c r="AP31" s="3">
        <v>9.5399999999999991</v>
      </c>
      <c r="AQ31" s="4">
        <v>0</v>
      </c>
      <c r="AR31" s="5">
        <v>0</v>
      </c>
      <c r="AS31" s="6">
        <v>7.14</v>
      </c>
      <c r="AT31" s="1">
        <v>0</v>
      </c>
      <c r="AU31" s="7">
        <v>0</v>
      </c>
      <c r="AV31" s="3">
        <v>9.93</v>
      </c>
      <c r="AW31" s="4">
        <v>0</v>
      </c>
      <c r="AX31" s="5">
        <v>0</v>
      </c>
      <c r="AY31" s="6">
        <v>9.61</v>
      </c>
      <c r="AZ31" s="1" t="s">
        <v>163</v>
      </c>
      <c r="BA31" s="7">
        <v>0</v>
      </c>
      <c r="BB31" s="3">
        <v>0</v>
      </c>
      <c r="BC31" s="4">
        <v>0</v>
      </c>
      <c r="BD31" s="5">
        <v>0</v>
      </c>
      <c r="BE31" s="6">
        <v>0</v>
      </c>
      <c r="BF31" s="1">
        <v>0</v>
      </c>
      <c r="BG31" s="7">
        <v>0</v>
      </c>
    </row>
    <row r="32" spans="1:59">
      <c r="A32" s="31" t="s">
        <v>183</v>
      </c>
      <c r="B32" s="3">
        <v>7.56</v>
      </c>
      <c r="C32" s="4">
        <v>8.1300000000000008</v>
      </c>
      <c r="D32" s="5">
        <v>7.8</v>
      </c>
      <c r="E32" s="6">
        <v>9.2100000000000009</v>
      </c>
      <c r="F32" s="1">
        <v>6.02</v>
      </c>
      <c r="G32" s="7">
        <v>8.91</v>
      </c>
      <c r="H32" s="3">
        <v>6.92</v>
      </c>
      <c r="I32" s="4">
        <v>7.13</v>
      </c>
      <c r="J32" s="5">
        <v>8.2200000000000006</v>
      </c>
      <c r="K32" s="6">
        <v>7.84</v>
      </c>
      <c r="L32" s="1">
        <v>7.9</v>
      </c>
      <c r="M32" s="7">
        <v>7.9</v>
      </c>
      <c r="N32" s="3">
        <v>8.59</v>
      </c>
      <c r="O32" s="4">
        <v>7.46</v>
      </c>
      <c r="P32" s="5">
        <v>8.2899999999999991</v>
      </c>
      <c r="Q32" s="6">
        <v>6.88</v>
      </c>
      <c r="R32" s="1" t="s">
        <v>163</v>
      </c>
      <c r="S32" s="7">
        <v>9.2799999999999994</v>
      </c>
      <c r="T32" s="3">
        <v>11.62</v>
      </c>
      <c r="U32" s="4">
        <v>7.49</v>
      </c>
      <c r="V32" s="5">
        <v>9.82</v>
      </c>
      <c r="W32" s="6">
        <v>7.1</v>
      </c>
      <c r="X32" s="1">
        <v>7.72</v>
      </c>
      <c r="Y32" s="7">
        <v>8.59</v>
      </c>
      <c r="Z32" s="3">
        <v>7.62</v>
      </c>
      <c r="AA32" s="4">
        <v>7.95</v>
      </c>
      <c r="AB32" s="5">
        <v>0</v>
      </c>
      <c r="AC32" s="6">
        <v>8.5500000000000007</v>
      </c>
      <c r="AD32" s="1">
        <v>7.7</v>
      </c>
      <c r="AE32" s="7">
        <v>0</v>
      </c>
      <c r="AF32" s="3">
        <v>10.29</v>
      </c>
      <c r="AG32" s="4">
        <v>8.8699999999999992</v>
      </c>
      <c r="AH32" s="5">
        <v>0</v>
      </c>
      <c r="AI32" s="6">
        <v>7.12</v>
      </c>
      <c r="AJ32" s="1">
        <v>8.84</v>
      </c>
      <c r="AK32" s="7">
        <v>0</v>
      </c>
      <c r="AL32" s="3">
        <v>10.63</v>
      </c>
      <c r="AM32" s="5">
        <v>6.78</v>
      </c>
      <c r="AN32" s="6">
        <v>8.9700000000000006</v>
      </c>
      <c r="AO32" s="7">
        <v>7.87</v>
      </c>
      <c r="AP32" s="3">
        <v>8.48</v>
      </c>
      <c r="AQ32" s="4">
        <v>0</v>
      </c>
      <c r="AR32" s="5">
        <v>0</v>
      </c>
      <c r="AS32" s="6">
        <v>6.92</v>
      </c>
      <c r="AT32" s="1">
        <v>0</v>
      </c>
      <c r="AU32" s="7">
        <v>0</v>
      </c>
      <c r="AV32" s="3">
        <v>7.29</v>
      </c>
      <c r="AW32" s="4">
        <v>0</v>
      </c>
      <c r="AX32" s="5">
        <v>0</v>
      </c>
      <c r="AY32" s="6">
        <v>6.61</v>
      </c>
      <c r="AZ32" s="1" t="s">
        <v>163</v>
      </c>
      <c r="BA32" s="7">
        <v>0</v>
      </c>
      <c r="BB32" s="3">
        <v>0</v>
      </c>
      <c r="BC32" s="4">
        <v>0</v>
      </c>
      <c r="BD32" s="5">
        <v>0</v>
      </c>
      <c r="BE32" s="6">
        <v>0</v>
      </c>
      <c r="BF32" s="1">
        <v>0</v>
      </c>
      <c r="BG32" s="7">
        <v>0</v>
      </c>
    </row>
    <row r="33" spans="1:59" s="40" customFormat="1">
      <c r="A33" s="31" t="s">
        <v>184</v>
      </c>
      <c r="B33" s="32">
        <f>B31*B32*B32/2</f>
        <v>265.47847199999995</v>
      </c>
      <c r="C33" s="33">
        <f t="shared" ref="C33:G33" si="157">C31*C32*C32/2</f>
        <v>333.12837600000006</v>
      </c>
      <c r="D33" s="34">
        <f t="shared" si="157"/>
        <v>289.29419999999999</v>
      </c>
      <c r="E33" s="35">
        <f t="shared" si="157"/>
        <v>426.24110250000012</v>
      </c>
      <c r="F33" s="36">
        <f t="shared" si="157"/>
        <v>193.70493799999997</v>
      </c>
      <c r="G33" s="37">
        <f t="shared" si="157"/>
        <v>449.33664600000003</v>
      </c>
      <c r="H33" s="32">
        <f>H31*H32*H32/2</f>
        <v>227.46039999999999</v>
      </c>
      <c r="I33" s="33">
        <f t="shared" ref="I33:M33" si="158">I31*I32*I32/2</f>
        <v>204.61852250000001</v>
      </c>
      <c r="J33" s="34">
        <f t="shared" si="158"/>
        <v>370.95051600000011</v>
      </c>
      <c r="K33" s="35">
        <f t="shared" si="158"/>
        <v>330.68492800000001</v>
      </c>
      <c r="L33" s="36">
        <f t="shared" si="158"/>
        <v>335.76580000000001</v>
      </c>
      <c r="M33" s="37">
        <f t="shared" si="158"/>
        <v>260.56175000000002</v>
      </c>
      <c r="N33" s="32">
        <f>N31*N32*N32/2</f>
        <v>425.75733699999995</v>
      </c>
      <c r="O33" s="33">
        <f t="shared" ref="O33:Q33" si="159">O31*O32*O32/2</f>
        <v>270.18851800000004</v>
      </c>
      <c r="P33" s="34">
        <f t="shared" si="159"/>
        <v>423.68407649999989</v>
      </c>
      <c r="Q33" s="35">
        <f t="shared" si="159"/>
        <v>223.89171200000001</v>
      </c>
      <c r="R33" s="36" t="s">
        <v>163</v>
      </c>
      <c r="S33" s="37">
        <f t="shared" ref="S33" si="160">S31*S32*S32/2</f>
        <v>538.67059199999994</v>
      </c>
      <c r="T33" s="32">
        <f>T31*T32*T32/2</f>
        <v>901.28786999999988</v>
      </c>
      <c r="U33" s="33">
        <f t="shared" ref="U33:Y33" si="161">U31*U32*U32/2</f>
        <v>331.27109050000001</v>
      </c>
      <c r="V33" s="34">
        <f t="shared" si="161"/>
        <v>545.80738400000007</v>
      </c>
      <c r="W33" s="35">
        <f t="shared" si="161"/>
        <v>248.52129999999994</v>
      </c>
      <c r="X33" s="36">
        <f t="shared" si="161"/>
        <v>244.65143200000003</v>
      </c>
      <c r="Y33" s="37">
        <f t="shared" si="161"/>
        <v>375.21248849999995</v>
      </c>
      <c r="Z33" s="32">
        <f>Z31*Z32*Z32/2</f>
        <v>235.16082</v>
      </c>
      <c r="AA33" s="33">
        <f t="shared" ref="AA33:AE33" si="162">AA31*AA32*AA32/2</f>
        <v>269.87467500000002</v>
      </c>
      <c r="AB33" s="34">
        <f t="shared" si="162"/>
        <v>0</v>
      </c>
      <c r="AC33" s="35">
        <f t="shared" si="162"/>
        <v>336.2715</v>
      </c>
      <c r="AD33" s="36">
        <f t="shared" si="162"/>
        <v>305.63995</v>
      </c>
      <c r="AE33" s="37">
        <f t="shared" si="162"/>
        <v>0</v>
      </c>
      <c r="AF33" s="32">
        <f>AF31*AF32*AF32/2</f>
        <v>561.18572999999992</v>
      </c>
      <c r="AG33" s="33">
        <f t="shared" ref="AG33:AO33" si="163">AG31*AG32*AG32/2</f>
        <v>477.56878299999994</v>
      </c>
      <c r="AH33" s="34">
        <f t="shared" si="163"/>
        <v>0</v>
      </c>
      <c r="AI33" s="35">
        <f t="shared" si="163"/>
        <v>265.63865600000003</v>
      </c>
      <c r="AJ33" s="36">
        <f t="shared" si="163"/>
        <v>406.74784799999998</v>
      </c>
      <c r="AK33" s="37">
        <f t="shared" si="163"/>
        <v>0</v>
      </c>
      <c r="AL33" s="38">
        <f t="shared" si="163"/>
        <v>683.06626050000011</v>
      </c>
      <c r="AM33" s="39">
        <f t="shared" si="163"/>
        <v>187.32123000000001</v>
      </c>
      <c r="AN33" s="35">
        <f t="shared" si="163"/>
        <v>381.78697050000005</v>
      </c>
      <c r="AO33" s="37">
        <f t="shared" si="163"/>
        <v>315.87819000000002</v>
      </c>
      <c r="AP33" s="32">
        <f>AP31*AP32*AP32/2</f>
        <v>343.012608</v>
      </c>
      <c r="AQ33" s="33">
        <f t="shared" ref="AQ33:AU33" si="164">AQ31*AQ32*AQ32/2</f>
        <v>0</v>
      </c>
      <c r="AR33" s="34">
        <f t="shared" si="164"/>
        <v>0</v>
      </c>
      <c r="AS33" s="35">
        <f t="shared" si="164"/>
        <v>170.95444799999999</v>
      </c>
      <c r="AT33" s="36">
        <f t="shared" si="164"/>
        <v>0</v>
      </c>
      <c r="AU33" s="37">
        <f t="shared" si="164"/>
        <v>0</v>
      </c>
      <c r="AV33" s="32">
        <f>AV31*AV32*AV32/2</f>
        <v>263.8604565</v>
      </c>
      <c r="AW33" s="33">
        <f t="shared" ref="AW33:AY33" si="165">AW31*AW32*AW32/2</f>
        <v>0</v>
      </c>
      <c r="AX33" s="34">
        <f t="shared" si="165"/>
        <v>0</v>
      </c>
      <c r="AY33" s="35">
        <f t="shared" si="165"/>
        <v>209.94054050000003</v>
      </c>
      <c r="AZ33" s="36" t="s">
        <v>163</v>
      </c>
      <c r="BA33" s="37">
        <f t="shared" ref="BA33" si="166">BA31*BA32*BA32/2</f>
        <v>0</v>
      </c>
      <c r="BB33" s="32">
        <f>BB31*BB32*BB32/2</f>
        <v>0</v>
      </c>
      <c r="BC33" s="33">
        <f t="shared" ref="BC33:BG33" si="167">BC31*BC32*BC32/2</f>
        <v>0</v>
      </c>
      <c r="BD33" s="34">
        <f t="shared" si="167"/>
        <v>0</v>
      </c>
      <c r="BE33" s="35">
        <f t="shared" si="167"/>
        <v>0</v>
      </c>
      <c r="BF33" s="36">
        <f t="shared" si="167"/>
        <v>0</v>
      </c>
      <c r="BG33" s="37">
        <f t="shared" si="167"/>
        <v>0</v>
      </c>
    </row>
    <row r="34" spans="1:59">
      <c r="A34" s="31" t="s">
        <v>185</v>
      </c>
      <c r="B34" s="3">
        <v>10.88</v>
      </c>
      <c r="C34" s="4">
        <v>10.28</v>
      </c>
      <c r="D34" s="5">
        <v>8.75</v>
      </c>
      <c r="E34" s="6">
        <v>12.03</v>
      </c>
      <c r="F34" s="1">
        <v>10.64</v>
      </c>
      <c r="G34" s="7">
        <v>10.38</v>
      </c>
      <c r="H34" s="3">
        <v>10.83</v>
      </c>
      <c r="I34" s="4">
        <v>9.18</v>
      </c>
      <c r="J34" s="5">
        <v>10.210000000000001</v>
      </c>
      <c r="K34" s="6">
        <v>11.65</v>
      </c>
      <c r="L34" s="1">
        <v>10.85</v>
      </c>
      <c r="M34" s="7">
        <v>9.5399999999999991</v>
      </c>
      <c r="N34" s="3">
        <v>11.46</v>
      </c>
      <c r="O34" s="4">
        <v>12.02</v>
      </c>
      <c r="P34" s="5">
        <v>12.66</v>
      </c>
      <c r="Q34" s="6">
        <v>9.2899999999999991</v>
      </c>
      <c r="R34" s="1" t="s">
        <v>163</v>
      </c>
      <c r="S34" s="7">
        <v>11.87</v>
      </c>
      <c r="T34" s="3">
        <v>12.17</v>
      </c>
      <c r="U34" s="4">
        <v>12.53</v>
      </c>
      <c r="V34" s="5">
        <v>12.29</v>
      </c>
      <c r="W34" s="6">
        <v>10.18</v>
      </c>
      <c r="X34" s="1">
        <v>10.66</v>
      </c>
      <c r="Y34" s="7">
        <v>11.38</v>
      </c>
      <c r="Z34" s="3">
        <v>9.32</v>
      </c>
      <c r="AA34" s="4">
        <v>9.65</v>
      </c>
      <c r="AB34" s="5">
        <v>0</v>
      </c>
      <c r="AC34" s="6">
        <v>10.92</v>
      </c>
      <c r="AD34" s="1">
        <v>12.11</v>
      </c>
      <c r="AE34" s="7">
        <v>0</v>
      </c>
      <c r="AF34" s="3">
        <v>13.26</v>
      </c>
      <c r="AG34" s="4">
        <v>11.32</v>
      </c>
      <c r="AH34" s="5">
        <v>0</v>
      </c>
      <c r="AI34" s="6">
        <v>11.3</v>
      </c>
      <c r="AJ34" s="1">
        <v>10.85</v>
      </c>
      <c r="AK34" s="7">
        <v>0</v>
      </c>
      <c r="AL34" s="3">
        <v>14.38</v>
      </c>
      <c r="AM34" s="5">
        <v>10.97</v>
      </c>
      <c r="AN34" s="6">
        <v>9.0500000000000007</v>
      </c>
      <c r="AO34" s="7">
        <v>12.38</v>
      </c>
      <c r="AP34" s="3">
        <v>10.87</v>
      </c>
      <c r="AQ34" s="4">
        <v>0</v>
      </c>
      <c r="AR34" s="5">
        <v>0</v>
      </c>
      <c r="AS34" s="6">
        <v>9.42</v>
      </c>
      <c r="AT34" s="1">
        <v>0</v>
      </c>
      <c r="AU34" s="7">
        <v>0</v>
      </c>
      <c r="AV34" s="3">
        <v>12.67</v>
      </c>
      <c r="AW34" s="4">
        <v>0</v>
      </c>
      <c r="AX34" s="5">
        <v>0</v>
      </c>
      <c r="AY34" s="6">
        <v>9.58</v>
      </c>
      <c r="AZ34" s="1" t="s">
        <v>163</v>
      </c>
      <c r="BA34" s="7">
        <v>0</v>
      </c>
      <c r="BB34" s="3">
        <v>0</v>
      </c>
      <c r="BC34" s="4">
        <v>0</v>
      </c>
      <c r="BD34" s="5">
        <v>0</v>
      </c>
      <c r="BE34" s="6">
        <v>0</v>
      </c>
      <c r="BF34" s="1">
        <v>0</v>
      </c>
      <c r="BG34" s="7">
        <v>0</v>
      </c>
    </row>
    <row r="35" spans="1:59">
      <c r="A35" s="31" t="s">
        <v>186</v>
      </c>
      <c r="B35" s="3">
        <v>8.84</v>
      </c>
      <c r="C35" s="4">
        <v>9.2799999999999994</v>
      </c>
      <c r="D35" s="5">
        <v>7.7</v>
      </c>
      <c r="E35" s="6">
        <v>10</v>
      </c>
      <c r="F35" s="1">
        <v>6.86</v>
      </c>
      <c r="G35" s="7">
        <v>9.07</v>
      </c>
      <c r="H35" s="3">
        <v>9.7100000000000009</v>
      </c>
      <c r="I35" s="4">
        <v>8.57</v>
      </c>
      <c r="J35" s="5">
        <v>9.14</v>
      </c>
      <c r="K35" s="6">
        <v>8.1300000000000008</v>
      </c>
      <c r="L35" s="1">
        <v>8.01</v>
      </c>
      <c r="M35" s="7">
        <v>8.43</v>
      </c>
      <c r="N35" s="3">
        <v>9.36</v>
      </c>
      <c r="O35" s="4">
        <v>9</v>
      </c>
      <c r="P35" s="5">
        <v>9.99</v>
      </c>
      <c r="Q35" s="6">
        <v>8.0299999999999994</v>
      </c>
      <c r="R35" s="1" t="s">
        <v>163</v>
      </c>
      <c r="S35" s="7">
        <v>10.73</v>
      </c>
      <c r="T35" s="3">
        <v>11.44</v>
      </c>
      <c r="U35" s="4">
        <v>8.1</v>
      </c>
      <c r="V35" s="5">
        <v>12.02</v>
      </c>
      <c r="W35" s="6">
        <v>7.93</v>
      </c>
      <c r="X35" s="1">
        <v>9.3699999999999992</v>
      </c>
      <c r="Y35" s="7">
        <v>10.83</v>
      </c>
      <c r="Z35" s="3">
        <v>8.16</v>
      </c>
      <c r="AA35" s="4">
        <v>8.93</v>
      </c>
      <c r="AB35" s="5">
        <v>0</v>
      </c>
      <c r="AC35" s="6">
        <v>7.98</v>
      </c>
      <c r="AD35" s="1">
        <v>8.1199999999999992</v>
      </c>
      <c r="AE35" s="7">
        <v>0</v>
      </c>
      <c r="AF35" s="3">
        <v>11.18</v>
      </c>
      <c r="AG35" s="4">
        <v>10.31</v>
      </c>
      <c r="AH35" s="5">
        <v>0</v>
      </c>
      <c r="AI35" s="6">
        <v>10.050000000000001</v>
      </c>
      <c r="AJ35" s="1">
        <v>8.98</v>
      </c>
      <c r="AK35" s="7">
        <v>0</v>
      </c>
      <c r="AL35" s="3">
        <v>12.44</v>
      </c>
      <c r="AM35" s="5">
        <v>8.2100000000000009</v>
      </c>
      <c r="AN35" s="6">
        <v>8.43</v>
      </c>
      <c r="AO35" s="7">
        <v>9.44</v>
      </c>
      <c r="AP35" s="3">
        <v>9.8800000000000008</v>
      </c>
      <c r="AQ35" s="4">
        <v>0</v>
      </c>
      <c r="AR35" s="5">
        <v>0</v>
      </c>
      <c r="AS35" s="6">
        <v>8.3800000000000008</v>
      </c>
      <c r="AT35" s="1">
        <v>0</v>
      </c>
      <c r="AU35" s="7">
        <v>0</v>
      </c>
      <c r="AV35" s="3">
        <v>11.7</v>
      </c>
      <c r="AW35" s="4">
        <v>0</v>
      </c>
      <c r="AX35" s="5">
        <v>0</v>
      </c>
      <c r="AY35" s="6">
        <v>9.24</v>
      </c>
      <c r="AZ35" s="1" t="s">
        <v>163</v>
      </c>
      <c r="BA35" s="7">
        <v>0</v>
      </c>
      <c r="BB35" s="3">
        <v>0</v>
      </c>
      <c r="BC35" s="4">
        <v>0</v>
      </c>
      <c r="BD35" s="5">
        <v>0</v>
      </c>
      <c r="BE35" s="6">
        <v>0</v>
      </c>
      <c r="BF35" s="1">
        <v>0</v>
      </c>
      <c r="BG35" s="7">
        <v>0</v>
      </c>
    </row>
    <row r="36" spans="1:59" s="40" customFormat="1">
      <c r="A36" s="31" t="s">
        <v>187</v>
      </c>
      <c r="B36" s="32">
        <f>B34*B35*B35/2</f>
        <v>425.11206400000003</v>
      </c>
      <c r="C36" s="33">
        <f t="shared" ref="C36:G36" si="168">C34*C35*C35/2</f>
        <v>442.64857599999988</v>
      </c>
      <c r="D36" s="34">
        <f t="shared" si="168"/>
        <v>259.39375000000001</v>
      </c>
      <c r="E36" s="35">
        <f t="shared" si="168"/>
        <v>601.5</v>
      </c>
      <c r="F36" s="36">
        <f t="shared" si="168"/>
        <v>250.35707200000004</v>
      </c>
      <c r="G36" s="37">
        <f t="shared" si="168"/>
        <v>426.95483100000007</v>
      </c>
      <c r="H36" s="32">
        <f>H34*H35*H35/2</f>
        <v>510.54840150000012</v>
      </c>
      <c r="I36" s="33">
        <f t="shared" ref="I36:M36" si="169">I34*I35*I35/2</f>
        <v>337.11209100000002</v>
      </c>
      <c r="J36" s="34">
        <f t="shared" si="169"/>
        <v>426.46965800000009</v>
      </c>
      <c r="K36" s="35">
        <f t="shared" si="169"/>
        <v>385.01444250000009</v>
      </c>
      <c r="L36" s="36">
        <f t="shared" si="169"/>
        <v>348.06854249999992</v>
      </c>
      <c r="M36" s="37">
        <f t="shared" si="169"/>
        <v>338.97957299999996</v>
      </c>
      <c r="N36" s="32">
        <f>N34*N35*N35/2</f>
        <v>502.00300800000002</v>
      </c>
      <c r="O36" s="33">
        <f t="shared" ref="O36:Q36" si="170">O34*O35*O35/2</f>
        <v>486.80999999999995</v>
      </c>
      <c r="P36" s="34">
        <f t="shared" si="170"/>
        <v>631.73463300000003</v>
      </c>
      <c r="Q36" s="35">
        <f t="shared" si="170"/>
        <v>299.51378049999994</v>
      </c>
      <c r="R36" s="36" t="s">
        <v>163</v>
      </c>
      <c r="S36" s="37">
        <f t="shared" ref="S36" si="171">S34*S35*S35/2</f>
        <v>683.31376150000006</v>
      </c>
      <c r="T36" s="32">
        <f>T34*T35*T35/2</f>
        <v>796.36585599999989</v>
      </c>
      <c r="U36" s="33">
        <f t="shared" ref="U36:Y36" si="172">U34*U35*U35/2</f>
        <v>411.04664999999994</v>
      </c>
      <c r="V36" s="34">
        <f t="shared" si="172"/>
        <v>887.83205799999996</v>
      </c>
      <c r="W36" s="35">
        <f t="shared" si="172"/>
        <v>320.08414099999993</v>
      </c>
      <c r="X36" s="36">
        <f t="shared" si="172"/>
        <v>467.95747699999993</v>
      </c>
      <c r="Y36" s="37">
        <f t="shared" si="172"/>
        <v>667.37384099999997</v>
      </c>
      <c r="Z36" s="32">
        <f>Z34*Z35*Z35/2</f>
        <v>310.28889600000002</v>
      </c>
      <c r="AA36" s="33">
        <f t="shared" ref="AA36:AE36" si="173">AA34*AA35*AA35/2</f>
        <v>384.76914249999999</v>
      </c>
      <c r="AB36" s="34">
        <f t="shared" si="173"/>
        <v>0</v>
      </c>
      <c r="AC36" s="35">
        <f t="shared" si="173"/>
        <v>347.69498400000009</v>
      </c>
      <c r="AD36" s="36">
        <f t="shared" si="173"/>
        <v>399.2327919999999</v>
      </c>
      <c r="AE36" s="37">
        <f t="shared" si="173"/>
        <v>0</v>
      </c>
      <c r="AF36" s="32">
        <f>AF34*AF35*AF35/2</f>
        <v>828.699612</v>
      </c>
      <c r="AG36" s="33">
        <f t="shared" ref="AG36:AO36" si="174">AG34*AG35*AG35/2</f>
        <v>601.63592600000004</v>
      </c>
      <c r="AH36" s="34">
        <f t="shared" si="174"/>
        <v>0</v>
      </c>
      <c r="AI36" s="35">
        <f t="shared" si="174"/>
        <v>570.66412500000013</v>
      </c>
      <c r="AJ36" s="36">
        <f t="shared" si="174"/>
        <v>437.47417000000007</v>
      </c>
      <c r="AK36" s="37">
        <f t="shared" si="174"/>
        <v>0</v>
      </c>
      <c r="AL36" s="38">
        <f t="shared" si="174"/>
        <v>1112.6783840000001</v>
      </c>
      <c r="AM36" s="39">
        <f t="shared" si="174"/>
        <v>369.71148850000009</v>
      </c>
      <c r="AN36" s="35">
        <f t="shared" si="174"/>
        <v>321.56867249999999</v>
      </c>
      <c r="AO36" s="37">
        <f t="shared" si="174"/>
        <v>551.61318399999993</v>
      </c>
      <c r="AP36" s="32">
        <f>AP34*AP35*AP35/2</f>
        <v>530.53426400000001</v>
      </c>
      <c r="AQ36" s="33">
        <f t="shared" ref="AQ36:AU36" si="175">AQ34*AQ35*AQ35/2</f>
        <v>0</v>
      </c>
      <c r="AR36" s="34">
        <f t="shared" si="175"/>
        <v>0</v>
      </c>
      <c r="AS36" s="35">
        <f t="shared" si="175"/>
        <v>330.75692400000008</v>
      </c>
      <c r="AT36" s="36">
        <f t="shared" si="175"/>
        <v>0</v>
      </c>
      <c r="AU36" s="37">
        <f t="shared" si="175"/>
        <v>0</v>
      </c>
      <c r="AV36" s="32">
        <f>AV34*AV35*AV35/2</f>
        <v>867.19814999999994</v>
      </c>
      <c r="AW36" s="33">
        <f t="shared" ref="AW36:AY36" si="176">AW34*AW35*AW35/2</f>
        <v>0</v>
      </c>
      <c r="AX36" s="34">
        <f t="shared" si="176"/>
        <v>0</v>
      </c>
      <c r="AY36" s="35">
        <f t="shared" si="176"/>
        <v>408.95870400000001</v>
      </c>
      <c r="AZ36" s="36" t="s">
        <v>163</v>
      </c>
      <c r="BA36" s="37">
        <f t="shared" ref="BA36" si="177">BA34*BA35*BA35/2</f>
        <v>0</v>
      </c>
      <c r="BB36" s="32">
        <f>BB34*BB35*BB35/2</f>
        <v>0</v>
      </c>
      <c r="BC36" s="33">
        <f t="shared" ref="BC36:BG36" si="178">BC34*BC35*BC35/2</f>
        <v>0</v>
      </c>
      <c r="BD36" s="34">
        <f t="shared" si="178"/>
        <v>0</v>
      </c>
      <c r="BE36" s="35">
        <f t="shared" si="178"/>
        <v>0</v>
      </c>
      <c r="BF36" s="36">
        <f t="shared" si="178"/>
        <v>0</v>
      </c>
      <c r="BG36" s="37">
        <f t="shared" si="178"/>
        <v>0</v>
      </c>
    </row>
    <row r="37" spans="1:59">
      <c r="A37" s="31" t="s">
        <v>188</v>
      </c>
      <c r="B37" s="3">
        <v>11.78</v>
      </c>
      <c r="C37" s="4">
        <v>13.9</v>
      </c>
      <c r="D37" s="5">
        <v>11.19</v>
      </c>
      <c r="E37" s="6">
        <v>14.56</v>
      </c>
      <c r="F37" s="1">
        <v>12.63</v>
      </c>
      <c r="G37" s="7">
        <v>15.28</v>
      </c>
      <c r="H37" s="3">
        <v>13.74</v>
      </c>
      <c r="I37" s="4">
        <v>13.52</v>
      </c>
      <c r="J37" s="5">
        <v>15.08</v>
      </c>
      <c r="K37" s="6">
        <v>14.39</v>
      </c>
      <c r="L37" s="1">
        <v>13.97</v>
      </c>
      <c r="M37" s="7">
        <v>12.71</v>
      </c>
      <c r="N37" s="3">
        <v>14.66</v>
      </c>
      <c r="O37" s="4">
        <v>13.96</v>
      </c>
      <c r="P37" s="5">
        <v>16.21</v>
      </c>
      <c r="Q37" s="6">
        <v>11.96</v>
      </c>
      <c r="R37" s="1" t="s">
        <v>163</v>
      </c>
      <c r="S37" s="7">
        <v>16.940000000000001</v>
      </c>
      <c r="T37" s="3">
        <v>17.25</v>
      </c>
      <c r="U37" s="4">
        <v>16.68</v>
      </c>
      <c r="V37" s="5">
        <v>15.46</v>
      </c>
      <c r="W37" s="6">
        <v>13.44</v>
      </c>
      <c r="X37" s="1">
        <v>15.9</v>
      </c>
      <c r="Y37" s="7">
        <v>14.8</v>
      </c>
      <c r="Z37" s="3">
        <v>11.63</v>
      </c>
      <c r="AA37" s="4">
        <v>13.1</v>
      </c>
      <c r="AB37" s="5">
        <v>0</v>
      </c>
      <c r="AC37" s="6">
        <v>12.17</v>
      </c>
      <c r="AD37" s="1">
        <v>13.86</v>
      </c>
      <c r="AE37" s="7">
        <v>0</v>
      </c>
      <c r="AF37" s="3">
        <v>13.78</v>
      </c>
      <c r="AG37" s="4">
        <v>14.92</v>
      </c>
      <c r="AH37" s="5">
        <v>0</v>
      </c>
      <c r="AI37" s="6">
        <v>13.88</v>
      </c>
      <c r="AJ37" s="1">
        <v>13.49</v>
      </c>
      <c r="AK37" s="7">
        <v>0</v>
      </c>
      <c r="AL37" s="3">
        <v>15.77</v>
      </c>
      <c r="AM37" s="5">
        <v>13.25</v>
      </c>
      <c r="AN37" s="6">
        <v>11.51</v>
      </c>
      <c r="AO37" s="7">
        <v>11.73</v>
      </c>
      <c r="AP37" s="3">
        <v>14.83</v>
      </c>
      <c r="AQ37" s="4">
        <v>0</v>
      </c>
      <c r="AR37" s="5">
        <v>0</v>
      </c>
      <c r="AS37" s="6">
        <v>10.45</v>
      </c>
      <c r="AT37" s="1">
        <v>0</v>
      </c>
      <c r="AU37" s="7">
        <v>0</v>
      </c>
      <c r="AV37" s="3">
        <v>15.14</v>
      </c>
      <c r="AW37" s="4">
        <v>0</v>
      </c>
      <c r="AX37" s="5">
        <v>0</v>
      </c>
      <c r="AY37" s="6">
        <v>11.65</v>
      </c>
      <c r="AZ37" s="1" t="s">
        <v>163</v>
      </c>
      <c r="BA37" s="7">
        <v>0</v>
      </c>
      <c r="BB37" s="3">
        <v>0</v>
      </c>
      <c r="BC37" s="4">
        <v>0</v>
      </c>
      <c r="BD37" s="5">
        <v>0</v>
      </c>
      <c r="BE37" s="6">
        <v>0</v>
      </c>
      <c r="BF37" s="1">
        <v>0</v>
      </c>
      <c r="BG37" s="7">
        <v>0</v>
      </c>
    </row>
    <row r="38" spans="1:59">
      <c r="A38" s="31" t="s">
        <v>189</v>
      </c>
      <c r="B38" s="3">
        <v>10.68</v>
      </c>
      <c r="C38" s="4">
        <v>11.48</v>
      </c>
      <c r="D38" s="5">
        <v>9.74</v>
      </c>
      <c r="E38" s="6">
        <v>10.53</v>
      </c>
      <c r="F38" s="1">
        <v>6.86</v>
      </c>
      <c r="G38" s="7">
        <v>10.23</v>
      </c>
      <c r="H38" s="3">
        <v>10.01</v>
      </c>
      <c r="I38" s="4">
        <v>10.11</v>
      </c>
      <c r="J38" s="5">
        <v>11.19</v>
      </c>
      <c r="K38" s="6">
        <v>9.98</v>
      </c>
      <c r="L38" s="1">
        <v>10.78</v>
      </c>
      <c r="M38" s="7">
        <v>9.99</v>
      </c>
      <c r="N38" s="3">
        <v>9.51</v>
      </c>
      <c r="O38" s="4">
        <v>11.13</v>
      </c>
      <c r="P38" s="5">
        <v>12.41</v>
      </c>
      <c r="Q38" s="6">
        <v>10.34</v>
      </c>
      <c r="R38" s="1" t="s">
        <v>163</v>
      </c>
      <c r="S38" s="7">
        <v>12.02</v>
      </c>
      <c r="T38" s="3">
        <v>14.61</v>
      </c>
      <c r="U38" s="4">
        <v>10</v>
      </c>
      <c r="V38" s="5">
        <v>12.66</v>
      </c>
      <c r="W38" s="6">
        <v>10.26</v>
      </c>
      <c r="X38" s="1">
        <v>12.47</v>
      </c>
      <c r="Y38" s="7">
        <v>11.28</v>
      </c>
      <c r="Z38" s="3">
        <v>10.92</v>
      </c>
      <c r="AA38" s="4">
        <v>10.9</v>
      </c>
      <c r="AB38" s="5">
        <v>0</v>
      </c>
      <c r="AC38" s="6">
        <v>8.19</v>
      </c>
      <c r="AD38" s="1">
        <v>10.92</v>
      </c>
      <c r="AE38" s="7">
        <v>0</v>
      </c>
      <c r="AF38" s="3">
        <v>11.51</v>
      </c>
      <c r="AG38" s="4">
        <v>10.53</v>
      </c>
      <c r="AH38" s="5">
        <v>0</v>
      </c>
      <c r="AI38" s="6">
        <v>9.5299999999999994</v>
      </c>
      <c r="AJ38" s="1">
        <v>11.61</v>
      </c>
      <c r="AK38" s="7">
        <v>0</v>
      </c>
      <c r="AL38" s="3">
        <v>12.99</v>
      </c>
      <c r="AM38" s="5">
        <v>9.26</v>
      </c>
      <c r="AN38" s="6">
        <v>8.8699999999999992</v>
      </c>
      <c r="AO38" s="7">
        <v>9.56</v>
      </c>
      <c r="AP38" s="3">
        <v>11.6</v>
      </c>
      <c r="AQ38" s="4">
        <v>0</v>
      </c>
      <c r="AR38" s="5">
        <v>0</v>
      </c>
      <c r="AS38" s="6">
        <v>8.82</v>
      </c>
      <c r="AT38" s="1">
        <v>0</v>
      </c>
      <c r="AU38" s="7">
        <v>0</v>
      </c>
      <c r="AV38" s="3">
        <v>11.22</v>
      </c>
      <c r="AW38" s="4">
        <v>0</v>
      </c>
      <c r="AX38" s="5">
        <v>0</v>
      </c>
      <c r="AY38" s="6">
        <v>8.3000000000000007</v>
      </c>
      <c r="AZ38" s="1" t="s">
        <v>163</v>
      </c>
      <c r="BA38" s="7">
        <v>0</v>
      </c>
      <c r="BB38" s="3">
        <v>0</v>
      </c>
      <c r="BC38" s="4">
        <v>0</v>
      </c>
      <c r="BD38" s="5">
        <v>0</v>
      </c>
      <c r="BE38" s="6">
        <v>0</v>
      </c>
      <c r="BF38" s="1">
        <v>0</v>
      </c>
      <c r="BG38" s="7">
        <v>0</v>
      </c>
    </row>
    <row r="39" spans="1:59" s="40" customFormat="1">
      <c r="A39" s="31" t="s">
        <v>190</v>
      </c>
      <c r="B39" s="32">
        <f>B37*B38*B38/2</f>
        <v>671.8275359999999</v>
      </c>
      <c r="C39" s="33">
        <f t="shared" ref="C39:G39" si="179">C37*C38*C38/2</f>
        <v>915.94328000000007</v>
      </c>
      <c r="D39" s="34">
        <f t="shared" si="179"/>
        <v>530.784222</v>
      </c>
      <c r="E39" s="35">
        <f t="shared" si="179"/>
        <v>807.21295199999997</v>
      </c>
      <c r="F39" s="36">
        <f t="shared" si="179"/>
        <v>297.18137400000001</v>
      </c>
      <c r="G39" s="37">
        <f t="shared" si="179"/>
        <v>799.54815600000006</v>
      </c>
      <c r="H39" s="32">
        <f>H37*H38*H38/2</f>
        <v>688.37468699999999</v>
      </c>
      <c r="I39" s="33">
        <f t="shared" ref="I39:M39" si="180">I37*I38*I38/2</f>
        <v>690.9537959999999</v>
      </c>
      <c r="J39" s="34">
        <f t="shared" si="180"/>
        <v>944.12939399999982</v>
      </c>
      <c r="K39" s="35">
        <f t="shared" si="180"/>
        <v>716.62487800000008</v>
      </c>
      <c r="L39" s="36">
        <f t="shared" si="180"/>
        <v>811.71567399999992</v>
      </c>
      <c r="M39" s="37">
        <f t="shared" si="180"/>
        <v>634.22963550000009</v>
      </c>
      <c r="N39" s="32">
        <f>N37*N38*N38/2</f>
        <v>662.92593299999999</v>
      </c>
      <c r="O39" s="33">
        <f t="shared" ref="O39:Q39" si="181">O37*O38*O38/2</f>
        <v>864.6607620000002</v>
      </c>
      <c r="P39" s="34">
        <f t="shared" si="181"/>
        <v>1248.2356505</v>
      </c>
      <c r="Q39" s="35">
        <f t="shared" si="181"/>
        <v>639.35528800000009</v>
      </c>
      <c r="R39" s="36" t="s">
        <v>163</v>
      </c>
      <c r="S39" s="37">
        <f t="shared" ref="S39" si="182">S37*S38*S38/2</f>
        <v>1223.7489880000001</v>
      </c>
      <c r="T39" s="32">
        <f>T37*T38*T38/2</f>
        <v>1841.0243624999998</v>
      </c>
      <c r="U39" s="33">
        <f t="shared" ref="U39:Y39" si="183">U37*U38*U38/2</f>
        <v>834</v>
      </c>
      <c r="V39" s="34">
        <f t="shared" si="183"/>
        <v>1238.930388</v>
      </c>
      <c r="W39" s="35">
        <f t="shared" si="183"/>
        <v>707.39827199999991</v>
      </c>
      <c r="X39" s="36">
        <f t="shared" si="183"/>
        <v>1236.2321550000001</v>
      </c>
      <c r="Y39" s="37">
        <f t="shared" si="183"/>
        <v>941.5641599999999</v>
      </c>
      <c r="Z39" s="32">
        <f>Z37*Z38*Z38/2</f>
        <v>693.41781600000002</v>
      </c>
      <c r="AA39" s="33">
        <f t="shared" ref="AA39:AE39" si="184">AA37*AA38*AA38/2</f>
        <v>778.20550000000003</v>
      </c>
      <c r="AB39" s="34">
        <f t="shared" si="184"/>
        <v>0</v>
      </c>
      <c r="AC39" s="35">
        <f t="shared" si="184"/>
        <v>408.15806849999996</v>
      </c>
      <c r="AD39" s="36">
        <f t="shared" si="184"/>
        <v>826.37755200000004</v>
      </c>
      <c r="AE39" s="37">
        <f t="shared" si="184"/>
        <v>0</v>
      </c>
      <c r="AF39" s="32">
        <f>AF37*AF38*AF38/2</f>
        <v>912.78788899999995</v>
      </c>
      <c r="AG39" s="33">
        <f t="shared" ref="AG39:AO39" si="185">AG37*AG38*AG38/2</f>
        <v>827.17151399999989</v>
      </c>
      <c r="AH39" s="34">
        <f t="shared" si="185"/>
        <v>0</v>
      </c>
      <c r="AI39" s="35">
        <f t="shared" si="185"/>
        <v>630.29704599999991</v>
      </c>
      <c r="AJ39" s="36">
        <f t="shared" si="185"/>
        <v>909.17271449999998</v>
      </c>
      <c r="AK39" s="37">
        <f t="shared" si="185"/>
        <v>0</v>
      </c>
      <c r="AL39" s="38">
        <f t="shared" si="185"/>
        <v>1330.5156884999999</v>
      </c>
      <c r="AM39" s="39">
        <f t="shared" si="185"/>
        <v>568.0778499999999</v>
      </c>
      <c r="AN39" s="35">
        <f t="shared" si="185"/>
        <v>452.78555949999986</v>
      </c>
      <c r="AO39" s="37">
        <f t="shared" si="185"/>
        <v>536.02346399999999</v>
      </c>
      <c r="AP39" s="32">
        <f>AP37*AP38*AP38/2</f>
        <v>997.76239999999996</v>
      </c>
      <c r="AQ39" s="33">
        <f t="shared" ref="AQ39:AU39" si="186">AQ37*AQ38*AQ38/2</f>
        <v>0</v>
      </c>
      <c r="AR39" s="34">
        <f t="shared" si="186"/>
        <v>0</v>
      </c>
      <c r="AS39" s="35">
        <f t="shared" si="186"/>
        <v>406.46528999999998</v>
      </c>
      <c r="AT39" s="36">
        <f t="shared" si="186"/>
        <v>0</v>
      </c>
      <c r="AU39" s="37">
        <f t="shared" si="186"/>
        <v>0</v>
      </c>
      <c r="AV39" s="32">
        <f>AV37*AV38*AV38/2</f>
        <v>952.97518800000012</v>
      </c>
      <c r="AW39" s="33">
        <f t="shared" ref="AW39:AY39" si="187">AW37*AW38*AW38/2</f>
        <v>0</v>
      </c>
      <c r="AX39" s="34">
        <f t="shared" si="187"/>
        <v>0</v>
      </c>
      <c r="AY39" s="35">
        <f t="shared" si="187"/>
        <v>401.28425000000004</v>
      </c>
      <c r="AZ39" s="36" t="s">
        <v>163</v>
      </c>
      <c r="BA39" s="37">
        <f t="shared" ref="BA39" si="188">BA37*BA38*BA38/2</f>
        <v>0</v>
      </c>
      <c r="BB39" s="32">
        <f>BB37*BB38*BB38/2</f>
        <v>0</v>
      </c>
      <c r="BC39" s="33">
        <f t="shared" ref="BC39:BG39" si="189">BC37*BC38*BC38/2</f>
        <v>0</v>
      </c>
      <c r="BD39" s="34">
        <f t="shared" si="189"/>
        <v>0</v>
      </c>
      <c r="BE39" s="35">
        <f t="shared" si="189"/>
        <v>0</v>
      </c>
      <c r="BF39" s="36">
        <f t="shared" si="189"/>
        <v>0</v>
      </c>
      <c r="BG39" s="37">
        <f t="shared" si="189"/>
        <v>0</v>
      </c>
    </row>
    <row r="40" spans="1:59">
      <c r="A40" s="31" t="s">
        <v>191</v>
      </c>
      <c r="B40" s="3">
        <v>14.16</v>
      </c>
      <c r="C40" s="4" t="s">
        <v>163</v>
      </c>
      <c r="D40" s="5">
        <v>12.8</v>
      </c>
      <c r="E40" s="6">
        <v>16.25</v>
      </c>
      <c r="F40" s="1" t="s">
        <v>163</v>
      </c>
      <c r="G40" s="7">
        <v>16.61</v>
      </c>
      <c r="H40" s="3">
        <v>16.600000000000001</v>
      </c>
      <c r="I40" s="4">
        <v>16.079999999999998</v>
      </c>
      <c r="J40" s="5">
        <v>14.95</v>
      </c>
      <c r="K40" s="6">
        <v>17.04</v>
      </c>
      <c r="L40" s="1">
        <v>14.71</v>
      </c>
      <c r="M40" s="7">
        <v>12.83</v>
      </c>
      <c r="N40" s="3">
        <v>15.28</v>
      </c>
      <c r="O40" s="4">
        <v>14.41</v>
      </c>
      <c r="P40" s="5">
        <v>17.149999999999999</v>
      </c>
      <c r="Q40" s="6">
        <v>12.96</v>
      </c>
      <c r="R40" s="1" t="s">
        <v>163</v>
      </c>
      <c r="S40" s="7">
        <v>16.37</v>
      </c>
      <c r="T40" s="3">
        <v>16.46</v>
      </c>
      <c r="U40" s="4">
        <v>16.66</v>
      </c>
      <c r="V40" s="5" t="s">
        <v>163</v>
      </c>
      <c r="W40" s="6">
        <v>14.73</v>
      </c>
      <c r="X40" s="1" t="s">
        <v>163</v>
      </c>
      <c r="Y40" s="7">
        <v>14.28</v>
      </c>
      <c r="Z40" s="3">
        <v>13.69</v>
      </c>
      <c r="AA40" s="4">
        <v>12.35</v>
      </c>
      <c r="AB40" s="5">
        <v>0</v>
      </c>
      <c r="AC40" s="6">
        <v>17.09</v>
      </c>
      <c r="AD40" s="1">
        <v>14.07</v>
      </c>
      <c r="AE40" s="7">
        <v>0</v>
      </c>
      <c r="AF40" s="3">
        <v>14.63</v>
      </c>
      <c r="AG40" s="4">
        <v>15.25</v>
      </c>
      <c r="AH40" s="5">
        <v>0</v>
      </c>
      <c r="AI40" s="6">
        <v>14.34</v>
      </c>
      <c r="AJ40" s="1">
        <v>14.13</v>
      </c>
      <c r="AK40" s="7">
        <v>0</v>
      </c>
      <c r="AL40" s="3">
        <v>16.399999999999999</v>
      </c>
      <c r="AM40" s="5" t="s">
        <v>163</v>
      </c>
      <c r="AN40" s="6" t="s">
        <v>163</v>
      </c>
      <c r="AO40" s="7">
        <v>13.54</v>
      </c>
      <c r="AP40" s="3">
        <v>15.61</v>
      </c>
      <c r="AQ40" s="4">
        <v>0</v>
      </c>
      <c r="AR40" s="5">
        <v>0</v>
      </c>
      <c r="AS40" s="6">
        <v>12.34</v>
      </c>
      <c r="AT40" s="1">
        <v>0</v>
      </c>
      <c r="AU40" s="7">
        <v>0</v>
      </c>
      <c r="AV40" s="3">
        <v>16.899999999999999</v>
      </c>
      <c r="AW40" s="4">
        <v>0</v>
      </c>
      <c r="AX40" s="5">
        <v>0</v>
      </c>
      <c r="AY40" s="6">
        <v>11.27</v>
      </c>
      <c r="AZ40" s="1" t="s">
        <v>163</v>
      </c>
      <c r="BA40" s="7">
        <v>0</v>
      </c>
      <c r="BB40" s="3">
        <v>0</v>
      </c>
      <c r="BC40" s="4">
        <v>0</v>
      </c>
      <c r="BD40" s="5">
        <v>0</v>
      </c>
      <c r="BE40" s="6">
        <v>0</v>
      </c>
      <c r="BF40" s="1">
        <v>0</v>
      </c>
      <c r="BG40" s="7">
        <v>0</v>
      </c>
    </row>
    <row r="41" spans="1:59">
      <c r="A41" s="31" t="s">
        <v>192</v>
      </c>
      <c r="B41" s="3">
        <v>11.78</v>
      </c>
      <c r="C41" s="4" t="s">
        <v>163</v>
      </c>
      <c r="D41" s="5">
        <v>11.29</v>
      </c>
      <c r="E41" s="6">
        <v>11.87</v>
      </c>
      <c r="F41" s="1" t="s">
        <v>163</v>
      </c>
      <c r="G41" s="7">
        <v>11.51</v>
      </c>
      <c r="H41" s="3">
        <v>11.47</v>
      </c>
      <c r="I41" s="4">
        <v>10.5</v>
      </c>
      <c r="J41" s="5">
        <v>12.15</v>
      </c>
      <c r="K41" s="6">
        <v>11.41</v>
      </c>
      <c r="L41" s="1">
        <v>11.47</v>
      </c>
      <c r="M41" s="7">
        <v>10.79</v>
      </c>
      <c r="N41" s="3">
        <v>12.24</v>
      </c>
      <c r="O41" s="4">
        <v>11.07</v>
      </c>
      <c r="P41" s="5">
        <v>13.51</v>
      </c>
      <c r="Q41" s="6">
        <v>10.54</v>
      </c>
      <c r="R41" s="1" t="s">
        <v>163</v>
      </c>
      <c r="S41" s="7">
        <v>13.77</v>
      </c>
      <c r="T41" s="3">
        <v>15.91</v>
      </c>
      <c r="U41" s="4">
        <v>10.45</v>
      </c>
      <c r="V41" s="5" t="s">
        <v>163</v>
      </c>
      <c r="W41" s="6">
        <v>11.03</v>
      </c>
      <c r="X41" s="1" t="s">
        <v>163</v>
      </c>
      <c r="Y41" s="7">
        <v>12.27</v>
      </c>
      <c r="Z41" s="3">
        <v>12.27</v>
      </c>
      <c r="AA41" s="4">
        <v>11.68</v>
      </c>
      <c r="AB41" s="5">
        <v>0</v>
      </c>
      <c r="AC41" s="6">
        <v>8.8800000000000008</v>
      </c>
      <c r="AD41" s="1">
        <v>11.35</v>
      </c>
      <c r="AE41" s="7">
        <v>0</v>
      </c>
      <c r="AF41" s="3">
        <v>11.83</v>
      </c>
      <c r="AG41" s="4">
        <v>13.18</v>
      </c>
      <c r="AH41" s="5">
        <v>0</v>
      </c>
      <c r="AI41" s="6">
        <v>11.72</v>
      </c>
      <c r="AJ41" s="1">
        <v>12.12</v>
      </c>
      <c r="AK41" s="7">
        <v>0</v>
      </c>
      <c r="AL41" s="3">
        <v>14.71</v>
      </c>
      <c r="AM41" s="5" t="s">
        <v>163</v>
      </c>
      <c r="AN41" s="6" t="s">
        <v>163</v>
      </c>
      <c r="AO41" s="7">
        <v>9.7100000000000009</v>
      </c>
      <c r="AP41" s="3">
        <v>11.41</v>
      </c>
      <c r="AQ41" s="4">
        <v>0</v>
      </c>
      <c r="AR41" s="5">
        <v>0</v>
      </c>
      <c r="AS41" s="6">
        <v>10.1</v>
      </c>
      <c r="AT41" s="1">
        <v>0</v>
      </c>
      <c r="AU41" s="7">
        <v>0</v>
      </c>
      <c r="AV41" s="3">
        <v>12.46</v>
      </c>
      <c r="AW41" s="4">
        <v>0</v>
      </c>
      <c r="AX41" s="5">
        <v>0</v>
      </c>
      <c r="AY41" s="6">
        <v>9.7200000000000006</v>
      </c>
      <c r="AZ41" s="1" t="s">
        <v>163</v>
      </c>
      <c r="BA41" s="7">
        <v>0</v>
      </c>
      <c r="BB41" s="3">
        <v>0</v>
      </c>
      <c r="BC41" s="4">
        <v>0</v>
      </c>
      <c r="BD41" s="5">
        <v>0</v>
      </c>
      <c r="BE41" s="6">
        <v>0</v>
      </c>
      <c r="BF41" s="1">
        <v>0</v>
      </c>
      <c r="BG41" s="7">
        <v>0</v>
      </c>
    </row>
    <row r="42" spans="1:59" s="40" customFormat="1">
      <c r="A42" s="31" t="s">
        <v>193</v>
      </c>
      <c r="B42" s="32">
        <f>B40*B41*B41/2</f>
        <v>982.4802719999999</v>
      </c>
      <c r="C42" s="33" t="s">
        <v>163</v>
      </c>
      <c r="D42" s="34">
        <f t="shared" ref="D42:G42" si="190">D40*D41*D41/2</f>
        <v>815.77023999999994</v>
      </c>
      <c r="E42" s="35">
        <f t="shared" si="190"/>
        <v>1144.7873124999999</v>
      </c>
      <c r="F42" s="36" t="s">
        <v>163</v>
      </c>
      <c r="G42" s="37">
        <f t="shared" si="190"/>
        <v>1100.2472304999999</v>
      </c>
      <c r="H42" s="32">
        <f>H40*H41*H41/2</f>
        <v>1091.9554700000001</v>
      </c>
      <c r="I42" s="33">
        <f t="shared" ref="I42:M42" si="191">I40*I41*I41/2</f>
        <v>886.40999999999985</v>
      </c>
      <c r="J42" s="34">
        <f t="shared" si="191"/>
        <v>1103.4781874999999</v>
      </c>
      <c r="K42" s="35">
        <f t="shared" si="191"/>
        <v>1109.202612</v>
      </c>
      <c r="L42" s="36">
        <f t="shared" si="191"/>
        <v>967.63041950000013</v>
      </c>
      <c r="M42" s="37">
        <f t="shared" si="191"/>
        <v>746.86060149999992</v>
      </c>
      <c r="N42" s="32">
        <f>N40*N41*N41/2</f>
        <v>1144.606464</v>
      </c>
      <c r="O42" s="33">
        <f t="shared" ref="O42:Q42" si="192">O40*O41*O41/2</f>
        <v>882.93600449999997</v>
      </c>
      <c r="P42" s="34">
        <f t="shared" si="192"/>
        <v>1565.1098574999999</v>
      </c>
      <c r="Q42" s="35">
        <f t="shared" si="192"/>
        <v>719.87356799999998</v>
      </c>
      <c r="R42" s="36" t="s">
        <v>163</v>
      </c>
      <c r="S42" s="37">
        <f t="shared" ref="S42" si="193">S40*S41*S41/2</f>
        <v>1551.9815865</v>
      </c>
      <c r="T42" s="32">
        <f>T40*T41*T41/2</f>
        <v>2083.244263</v>
      </c>
      <c r="U42" s="33">
        <f t="shared" ref="U42:Y42" si="194">U40*U41*U41/2</f>
        <v>909.6568249999998</v>
      </c>
      <c r="V42" s="34" t="s">
        <v>163</v>
      </c>
      <c r="W42" s="35">
        <f t="shared" si="194"/>
        <v>896.03252850000001</v>
      </c>
      <c r="X42" s="36" t="s">
        <v>163</v>
      </c>
      <c r="Y42" s="37">
        <f t="shared" si="194"/>
        <v>1074.9477059999999</v>
      </c>
      <c r="Z42" s="32">
        <f>Z40*Z41*Z41/2</f>
        <v>1030.5346004999999</v>
      </c>
      <c r="AA42" s="33">
        <f t="shared" ref="AA42:AE42" si="195">AA40*AA41*AA41/2</f>
        <v>842.40831999999989</v>
      </c>
      <c r="AB42" s="34">
        <f t="shared" si="195"/>
        <v>0</v>
      </c>
      <c r="AC42" s="35">
        <f t="shared" si="195"/>
        <v>673.81084800000019</v>
      </c>
      <c r="AD42" s="36">
        <f t="shared" si="195"/>
        <v>906.26628749999998</v>
      </c>
      <c r="AE42" s="37">
        <f t="shared" si="195"/>
        <v>0</v>
      </c>
      <c r="AF42" s="32">
        <f>AF40*AF41*AF41/2</f>
        <v>1023.7262035</v>
      </c>
      <c r="AG42" s="33">
        <f t="shared" ref="AG42:AO42" si="196">AG40*AG41*AG41/2</f>
        <v>1324.5570499999999</v>
      </c>
      <c r="AH42" s="34">
        <f t="shared" si="196"/>
        <v>0</v>
      </c>
      <c r="AI42" s="35">
        <f t="shared" si="196"/>
        <v>984.85972800000013</v>
      </c>
      <c r="AJ42" s="36">
        <f t="shared" si="196"/>
        <v>1037.8089359999999</v>
      </c>
      <c r="AK42" s="37">
        <f t="shared" si="196"/>
        <v>0</v>
      </c>
      <c r="AL42" s="38">
        <f t="shared" si="196"/>
        <v>1774.3496200000002</v>
      </c>
      <c r="AM42" s="39" t="s">
        <v>163</v>
      </c>
      <c r="AN42" s="35" t="s">
        <v>163</v>
      </c>
      <c r="AO42" s="37">
        <f t="shared" si="196"/>
        <v>638.30335700000001</v>
      </c>
      <c r="AP42" s="32">
        <f>AP40*AP41*AP41/2</f>
        <v>1016.1181204999999</v>
      </c>
      <c r="AQ42" s="33">
        <f t="shared" ref="AQ42:AU42" si="197">AQ40*AQ41*AQ41/2</f>
        <v>0</v>
      </c>
      <c r="AR42" s="34">
        <f t="shared" si="197"/>
        <v>0</v>
      </c>
      <c r="AS42" s="35">
        <f t="shared" si="197"/>
        <v>629.40170000000001</v>
      </c>
      <c r="AT42" s="36">
        <f t="shared" si="197"/>
        <v>0</v>
      </c>
      <c r="AU42" s="37">
        <f t="shared" si="197"/>
        <v>0</v>
      </c>
      <c r="AV42" s="32">
        <f>AV40*AV41*AV41/2</f>
        <v>1311.8760199999999</v>
      </c>
      <c r="AW42" s="33">
        <f t="shared" ref="AW42:AY42" si="198">AW40*AW41*AW41/2</f>
        <v>0</v>
      </c>
      <c r="AX42" s="34">
        <f t="shared" si="198"/>
        <v>0</v>
      </c>
      <c r="AY42" s="35">
        <f t="shared" si="198"/>
        <v>532.38578400000006</v>
      </c>
      <c r="AZ42" s="36" t="s">
        <v>163</v>
      </c>
      <c r="BA42" s="37">
        <f t="shared" ref="BA42" si="199">BA40*BA41*BA41/2</f>
        <v>0</v>
      </c>
      <c r="BB42" s="32">
        <f>BB40*BB41*BB41/2</f>
        <v>0</v>
      </c>
      <c r="BC42" s="33">
        <f t="shared" ref="BC42:BG42" si="200">BC40*BC41*BC41/2</f>
        <v>0</v>
      </c>
      <c r="BD42" s="34">
        <f t="shared" si="200"/>
        <v>0</v>
      </c>
      <c r="BE42" s="35">
        <f t="shared" si="200"/>
        <v>0</v>
      </c>
      <c r="BF42" s="36">
        <f t="shared" si="200"/>
        <v>0</v>
      </c>
      <c r="BG42" s="37">
        <f t="shared" si="200"/>
        <v>0</v>
      </c>
    </row>
    <row r="43" spans="1:59">
      <c r="A43" s="31" t="s">
        <v>194</v>
      </c>
      <c r="B43" s="3">
        <v>15.01</v>
      </c>
      <c r="C43" s="4" t="s">
        <v>163</v>
      </c>
      <c r="D43" s="5" t="s">
        <v>163</v>
      </c>
      <c r="E43" s="6">
        <v>16.940000000000001</v>
      </c>
      <c r="F43" s="1" t="s">
        <v>163</v>
      </c>
      <c r="G43" s="7">
        <v>15.99</v>
      </c>
      <c r="H43" s="3">
        <v>17.7</v>
      </c>
      <c r="I43" s="4">
        <v>16.32</v>
      </c>
      <c r="J43" s="5">
        <v>16.66</v>
      </c>
      <c r="K43" s="6">
        <v>16.739999999999998</v>
      </c>
      <c r="L43" s="1">
        <v>15.65</v>
      </c>
      <c r="M43" s="7">
        <v>15.04</v>
      </c>
      <c r="N43" s="3">
        <v>15.96</v>
      </c>
      <c r="O43" s="4">
        <v>14.42</v>
      </c>
      <c r="P43" s="5" t="s">
        <v>163</v>
      </c>
      <c r="Q43" s="6">
        <v>13.03</v>
      </c>
      <c r="R43" s="1" t="s">
        <v>163</v>
      </c>
      <c r="S43" s="7" t="s">
        <v>163</v>
      </c>
      <c r="T43" s="3" t="s">
        <v>163</v>
      </c>
      <c r="U43" s="4" t="s">
        <v>163</v>
      </c>
      <c r="V43" s="5" t="s">
        <v>163</v>
      </c>
      <c r="W43" s="6">
        <v>14.39</v>
      </c>
      <c r="X43" s="1" t="s">
        <v>163</v>
      </c>
      <c r="Y43" s="7">
        <v>15.68</v>
      </c>
      <c r="Z43" s="3">
        <v>14.38</v>
      </c>
      <c r="AA43" s="4" t="s">
        <v>163</v>
      </c>
      <c r="AB43" s="5">
        <v>0</v>
      </c>
      <c r="AC43" s="6">
        <v>15.67</v>
      </c>
      <c r="AD43" s="1" t="s">
        <v>163</v>
      </c>
      <c r="AE43" s="7">
        <v>0</v>
      </c>
      <c r="AF43" s="3" t="s">
        <v>163</v>
      </c>
      <c r="AG43" s="4">
        <v>16.010000000000002</v>
      </c>
      <c r="AH43" s="5">
        <v>0</v>
      </c>
      <c r="AI43" s="6">
        <v>15.57</v>
      </c>
      <c r="AJ43" s="1">
        <v>15.5</v>
      </c>
      <c r="AK43" s="7">
        <v>0</v>
      </c>
      <c r="AL43" s="3" t="s">
        <v>163</v>
      </c>
      <c r="AM43" s="5" t="s">
        <v>163</v>
      </c>
      <c r="AN43" s="6" t="s">
        <v>163</v>
      </c>
      <c r="AO43" s="7">
        <v>16.670000000000002</v>
      </c>
      <c r="AP43" s="3">
        <v>17.420000000000002</v>
      </c>
      <c r="AQ43" s="4">
        <v>0</v>
      </c>
      <c r="AR43" s="5">
        <v>0</v>
      </c>
      <c r="AS43" s="6">
        <v>14.12</v>
      </c>
      <c r="AT43" s="1">
        <v>0</v>
      </c>
      <c r="AU43" s="7">
        <v>0</v>
      </c>
      <c r="AV43" s="3">
        <v>18.7</v>
      </c>
      <c r="AW43" s="4">
        <v>0</v>
      </c>
      <c r="AX43" s="5">
        <v>0</v>
      </c>
      <c r="AY43" s="6">
        <v>12.53</v>
      </c>
      <c r="AZ43" s="1" t="s">
        <v>163</v>
      </c>
      <c r="BA43" s="7">
        <v>0</v>
      </c>
      <c r="BB43" s="3">
        <v>0</v>
      </c>
      <c r="BC43" s="4">
        <v>0</v>
      </c>
      <c r="BD43" s="5">
        <v>0</v>
      </c>
      <c r="BE43" s="6">
        <v>0</v>
      </c>
      <c r="BF43" s="1">
        <v>0</v>
      </c>
      <c r="BG43" s="7">
        <v>0</v>
      </c>
    </row>
    <row r="44" spans="1:59">
      <c r="A44" s="31" t="s">
        <v>195</v>
      </c>
      <c r="B44" s="3">
        <v>11.31</v>
      </c>
      <c r="C44" s="4" t="s">
        <v>163</v>
      </c>
      <c r="D44" s="5" t="s">
        <v>163</v>
      </c>
      <c r="E44" s="6">
        <v>11.01</v>
      </c>
      <c r="F44" s="1" t="s">
        <v>163</v>
      </c>
      <c r="G44" s="7">
        <v>11.87</v>
      </c>
      <c r="H44" s="3">
        <v>12.12</v>
      </c>
      <c r="I44" s="4">
        <v>12.18</v>
      </c>
      <c r="J44" s="5">
        <v>12.95</v>
      </c>
      <c r="K44" s="6">
        <v>12.35</v>
      </c>
      <c r="L44" s="1">
        <v>12.69</v>
      </c>
      <c r="M44" s="7">
        <v>12.82</v>
      </c>
      <c r="N44" s="3">
        <v>9.59</v>
      </c>
      <c r="O44" s="4">
        <v>12.79</v>
      </c>
      <c r="P44" s="5" t="s">
        <v>163</v>
      </c>
      <c r="Q44" s="6">
        <v>9.61</v>
      </c>
      <c r="R44" s="1" t="s">
        <v>163</v>
      </c>
      <c r="S44" s="7" t="s">
        <v>163</v>
      </c>
      <c r="T44" s="3" t="s">
        <v>163</v>
      </c>
      <c r="U44" s="4" t="s">
        <v>163</v>
      </c>
      <c r="V44" s="5" t="s">
        <v>163</v>
      </c>
      <c r="W44" s="6">
        <v>11.48</v>
      </c>
      <c r="X44" s="1" t="s">
        <v>163</v>
      </c>
      <c r="Y44" s="7">
        <v>12.08</v>
      </c>
      <c r="Z44" s="3">
        <v>12.42</v>
      </c>
      <c r="AA44" s="4" t="s">
        <v>163</v>
      </c>
      <c r="AB44" s="5">
        <v>0</v>
      </c>
      <c r="AC44" s="6">
        <v>9.4499999999999993</v>
      </c>
      <c r="AD44" s="1" t="s">
        <v>163</v>
      </c>
      <c r="AE44" s="7">
        <v>0</v>
      </c>
      <c r="AF44" s="3" t="s">
        <v>163</v>
      </c>
      <c r="AG44" s="4">
        <v>13.61</v>
      </c>
      <c r="AH44" s="5">
        <v>0</v>
      </c>
      <c r="AI44" s="6">
        <v>10.73</v>
      </c>
      <c r="AJ44" s="1">
        <v>12.96</v>
      </c>
      <c r="AK44" s="7">
        <v>0</v>
      </c>
      <c r="AL44" s="3" t="s">
        <v>163</v>
      </c>
      <c r="AM44" s="5" t="s">
        <v>163</v>
      </c>
      <c r="AN44" s="6" t="s">
        <v>163</v>
      </c>
      <c r="AO44" s="7">
        <v>11.68</v>
      </c>
      <c r="AP44" s="3">
        <v>13.83</v>
      </c>
      <c r="AQ44" s="4">
        <v>0</v>
      </c>
      <c r="AR44" s="5">
        <v>0</v>
      </c>
      <c r="AS44" s="6">
        <v>12.03</v>
      </c>
      <c r="AT44" s="1">
        <v>0</v>
      </c>
      <c r="AU44" s="7">
        <v>0</v>
      </c>
      <c r="AV44" s="3">
        <v>14.43</v>
      </c>
      <c r="AW44" s="4">
        <v>0</v>
      </c>
      <c r="AX44" s="5">
        <v>0</v>
      </c>
      <c r="AY44" s="6">
        <v>10.83</v>
      </c>
      <c r="AZ44" s="1" t="s">
        <v>163</v>
      </c>
      <c r="BA44" s="7">
        <v>0</v>
      </c>
      <c r="BB44" s="3">
        <v>0</v>
      </c>
      <c r="BC44" s="4">
        <v>0</v>
      </c>
      <c r="BD44" s="5">
        <v>0</v>
      </c>
      <c r="BE44" s="6">
        <v>0</v>
      </c>
      <c r="BF44" s="1">
        <v>0</v>
      </c>
      <c r="BG44" s="7">
        <v>0</v>
      </c>
    </row>
    <row r="45" spans="1:59" s="40" customFormat="1">
      <c r="A45" s="31" t="s">
        <v>196</v>
      </c>
      <c r="B45" s="32">
        <f>B43*B44*B44/2</f>
        <v>960.01033050000012</v>
      </c>
      <c r="C45" s="33" t="s">
        <v>163</v>
      </c>
      <c r="D45" s="34" t="s">
        <v>163</v>
      </c>
      <c r="E45" s="35">
        <f t="shared" ref="E45:G45" si="201">E43*E44*E44/2</f>
        <v>1026.7342469999999</v>
      </c>
      <c r="F45" s="36" t="s">
        <v>163</v>
      </c>
      <c r="G45" s="37">
        <f t="shared" si="201"/>
        <v>1126.4707154999999</v>
      </c>
      <c r="H45" s="32">
        <f>H43*H44*H44/2</f>
        <v>1300.0154399999997</v>
      </c>
      <c r="I45" s="33">
        <f t="shared" ref="I45:M45" si="202">I43*I44*I44/2</f>
        <v>1210.555584</v>
      </c>
      <c r="J45" s="34">
        <f t="shared" si="202"/>
        <v>1396.9618249999999</v>
      </c>
      <c r="K45" s="35">
        <f t="shared" si="202"/>
        <v>1276.6133249999998</v>
      </c>
      <c r="L45" s="36">
        <f t="shared" si="202"/>
        <v>1260.1074825000001</v>
      </c>
      <c r="M45" s="37">
        <f t="shared" si="202"/>
        <v>1235.9300479999999</v>
      </c>
      <c r="N45" s="32">
        <f>N43*N44*N44/2</f>
        <v>733.905438</v>
      </c>
      <c r="O45" s="33">
        <f t="shared" ref="O45:Q45" si="203">O43*O44*O44/2</f>
        <v>1179.4413609999999</v>
      </c>
      <c r="P45" s="34" t="s">
        <v>163</v>
      </c>
      <c r="Q45" s="35">
        <f t="shared" si="203"/>
        <v>601.67393149999987</v>
      </c>
      <c r="R45" s="36" t="s">
        <v>163</v>
      </c>
      <c r="S45" s="37" t="s">
        <v>163</v>
      </c>
      <c r="T45" s="32" t="s">
        <v>163</v>
      </c>
      <c r="U45" s="33" t="s">
        <v>163</v>
      </c>
      <c r="V45" s="34" t="s">
        <v>163</v>
      </c>
      <c r="W45" s="35">
        <f t="shared" ref="W45:Y45" si="204">W43*W44*W44/2</f>
        <v>948.23192800000004</v>
      </c>
      <c r="X45" s="36" t="s">
        <v>163</v>
      </c>
      <c r="Y45" s="37">
        <f t="shared" si="204"/>
        <v>1144.0629759999999</v>
      </c>
      <c r="Z45" s="32">
        <f>Z43*Z44*Z44/2</f>
        <v>1109.1035160000001</v>
      </c>
      <c r="AA45" s="33" t="s">
        <v>163</v>
      </c>
      <c r="AB45" s="34">
        <f t="shared" ref="AB45:AE45" si="205">AB43*AB44*AB44/2</f>
        <v>0</v>
      </c>
      <c r="AC45" s="35">
        <f t="shared" si="205"/>
        <v>699.6850874999999</v>
      </c>
      <c r="AD45" s="36" t="s">
        <v>163</v>
      </c>
      <c r="AE45" s="37">
        <f t="shared" si="205"/>
        <v>0</v>
      </c>
      <c r="AF45" s="32" t="s">
        <v>163</v>
      </c>
      <c r="AG45" s="33">
        <f t="shared" ref="AG45:AO45" si="206">AG43*AG44*AG44/2</f>
        <v>1482.7829605000002</v>
      </c>
      <c r="AH45" s="34">
        <f t="shared" si="206"/>
        <v>0</v>
      </c>
      <c r="AI45" s="35">
        <f t="shared" si="206"/>
        <v>896.30962650000004</v>
      </c>
      <c r="AJ45" s="36">
        <f t="shared" si="206"/>
        <v>1301.7024000000004</v>
      </c>
      <c r="AK45" s="37">
        <f t="shared" si="206"/>
        <v>0</v>
      </c>
      <c r="AL45" s="32" t="s">
        <v>163</v>
      </c>
      <c r="AM45" s="39" t="s">
        <v>163</v>
      </c>
      <c r="AN45" s="35" t="s">
        <v>163</v>
      </c>
      <c r="AO45" s="37">
        <f t="shared" si="206"/>
        <v>1137.080704</v>
      </c>
      <c r="AP45" s="32">
        <f>AP43*AP44*AP44/2</f>
        <v>1665.9521190000003</v>
      </c>
      <c r="AQ45" s="33">
        <f t="shared" ref="AQ45:AU45" si="207">AQ43*AQ44*AQ44/2</f>
        <v>0</v>
      </c>
      <c r="AR45" s="34">
        <f t="shared" si="207"/>
        <v>0</v>
      </c>
      <c r="AS45" s="35">
        <f t="shared" si="207"/>
        <v>1021.7295539999999</v>
      </c>
      <c r="AT45" s="36">
        <f t="shared" si="207"/>
        <v>0</v>
      </c>
      <c r="AU45" s="37">
        <f t="shared" si="207"/>
        <v>0</v>
      </c>
      <c r="AV45" s="32">
        <f>AV43*AV44*AV44/2</f>
        <v>1946.9028149999999</v>
      </c>
      <c r="AW45" s="33">
        <f t="shared" ref="AW45:AY45" si="208">AW43*AW44*AW44/2</f>
        <v>0</v>
      </c>
      <c r="AX45" s="34">
        <f t="shared" si="208"/>
        <v>0</v>
      </c>
      <c r="AY45" s="35">
        <f t="shared" si="208"/>
        <v>734.81495849999988</v>
      </c>
      <c r="AZ45" s="36" t="s">
        <v>163</v>
      </c>
      <c r="BA45" s="37">
        <f t="shared" ref="BA45" si="209">BA43*BA44*BA44/2</f>
        <v>0</v>
      </c>
      <c r="BB45" s="32">
        <f>BB43*BB44*BB44/2</f>
        <v>0</v>
      </c>
      <c r="BC45" s="33">
        <f t="shared" ref="BC45:BG45" si="210">BC43*BC44*BC44/2</f>
        <v>0</v>
      </c>
      <c r="BD45" s="34">
        <f t="shared" si="210"/>
        <v>0</v>
      </c>
      <c r="BE45" s="35">
        <f t="shared" si="210"/>
        <v>0</v>
      </c>
      <c r="BF45" s="36">
        <f t="shared" si="210"/>
        <v>0</v>
      </c>
      <c r="BG45" s="37">
        <f t="shared" si="210"/>
        <v>0</v>
      </c>
    </row>
    <row r="46" spans="1:59">
      <c r="A46" s="31" t="s">
        <v>197</v>
      </c>
      <c r="B46" s="3">
        <v>16.32</v>
      </c>
      <c r="C46" s="4" t="s">
        <v>163</v>
      </c>
      <c r="D46" s="5" t="s">
        <v>163</v>
      </c>
      <c r="E46" s="6" t="s">
        <v>163</v>
      </c>
      <c r="F46" s="1" t="s">
        <v>163</v>
      </c>
      <c r="G46" s="7" t="s">
        <v>163</v>
      </c>
      <c r="H46" s="3" t="s">
        <v>163</v>
      </c>
      <c r="I46" s="4">
        <v>17.690000000000001</v>
      </c>
      <c r="J46" s="5">
        <v>17.84</v>
      </c>
      <c r="K46" s="6">
        <v>16.82</v>
      </c>
      <c r="L46" s="1">
        <v>16.75</v>
      </c>
      <c r="M46" s="7">
        <v>16.37</v>
      </c>
      <c r="N46" s="3" t="s">
        <v>163</v>
      </c>
      <c r="O46" s="4">
        <v>14.64</v>
      </c>
      <c r="P46" s="5" t="s">
        <v>163</v>
      </c>
      <c r="Q46" s="6" t="s">
        <v>163</v>
      </c>
      <c r="R46" s="1" t="s">
        <v>163</v>
      </c>
      <c r="S46" s="7" t="s">
        <v>163</v>
      </c>
      <c r="T46" s="3" t="s">
        <v>163</v>
      </c>
      <c r="U46" s="4" t="s">
        <v>163</v>
      </c>
      <c r="V46" s="5" t="s">
        <v>163</v>
      </c>
      <c r="W46" s="6" t="s">
        <v>163</v>
      </c>
      <c r="X46" s="1" t="s">
        <v>163</v>
      </c>
      <c r="Y46" s="7">
        <v>16.72</v>
      </c>
      <c r="Z46" s="3" t="s">
        <v>163</v>
      </c>
      <c r="AA46" s="4" t="s">
        <v>163</v>
      </c>
      <c r="AB46" s="5">
        <v>0</v>
      </c>
      <c r="AC46" s="6">
        <v>16.93</v>
      </c>
      <c r="AD46" s="1" t="s">
        <v>163</v>
      </c>
      <c r="AE46" s="7">
        <v>0</v>
      </c>
      <c r="AF46" s="3" t="s">
        <v>163</v>
      </c>
      <c r="AG46" s="4" t="s">
        <v>163</v>
      </c>
      <c r="AH46" s="5">
        <v>0</v>
      </c>
      <c r="AI46" s="6">
        <v>15.05</v>
      </c>
      <c r="AJ46" s="1">
        <v>15.95</v>
      </c>
      <c r="AK46" s="7">
        <v>0</v>
      </c>
      <c r="AL46" s="3" t="s">
        <v>163</v>
      </c>
      <c r="AM46" s="5" t="s">
        <v>163</v>
      </c>
      <c r="AN46" s="6" t="s">
        <v>163</v>
      </c>
      <c r="AO46" s="7">
        <v>19.12</v>
      </c>
      <c r="AP46" s="3" t="s">
        <v>163</v>
      </c>
      <c r="AQ46" s="4">
        <v>0</v>
      </c>
      <c r="AR46" s="5">
        <v>0</v>
      </c>
      <c r="AS46" s="6">
        <v>16.02</v>
      </c>
      <c r="AT46" s="1">
        <v>0</v>
      </c>
      <c r="AU46" s="7">
        <v>0</v>
      </c>
      <c r="AV46" s="3" t="s">
        <v>163</v>
      </c>
      <c r="AW46" s="4">
        <v>0</v>
      </c>
      <c r="AX46" s="5">
        <v>0</v>
      </c>
      <c r="AY46" s="6">
        <v>13.91</v>
      </c>
      <c r="AZ46" s="1" t="s">
        <v>163</v>
      </c>
      <c r="BA46" s="7">
        <v>0</v>
      </c>
      <c r="BB46" s="3">
        <v>0</v>
      </c>
      <c r="BC46" s="4">
        <v>0</v>
      </c>
      <c r="BD46" s="5">
        <v>0</v>
      </c>
      <c r="BE46" s="6">
        <v>0</v>
      </c>
      <c r="BF46" s="1">
        <v>0</v>
      </c>
      <c r="BG46" s="7">
        <v>0</v>
      </c>
    </row>
    <row r="47" spans="1:59">
      <c r="A47" s="31" t="s">
        <v>198</v>
      </c>
      <c r="B47" s="3">
        <v>11.78</v>
      </c>
      <c r="C47" s="4" t="s">
        <v>163</v>
      </c>
      <c r="D47" s="5" t="s">
        <v>163</v>
      </c>
      <c r="E47" s="6" t="s">
        <v>163</v>
      </c>
      <c r="F47" s="1" t="s">
        <v>163</v>
      </c>
      <c r="G47" s="7" t="s">
        <v>163</v>
      </c>
      <c r="H47" s="3" t="s">
        <v>163</v>
      </c>
      <c r="I47" s="4">
        <v>11.29</v>
      </c>
      <c r="J47" s="5">
        <v>13.25</v>
      </c>
      <c r="K47" s="6">
        <v>12.86</v>
      </c>
      <c r="L47" s="1">
        <v>12.44</v>
      </c>
      <c r="M47" s="7">
        <v>14.67</v>
      </c>
      <c r="N47" s="3" t="s">
        <v>163</v>
      </c>
      <c r="O47" s="4">
        <v>12.48</v>
      </c>
      <c r="P47" s="5" t="s">
        <v>163</v>
      </c>
      <c r="Q47" s="6" t="s">
        <v>163</v>
      </c>
      <c r="R47" s="1" t="s">
        <v>163</v>
      </c>
      <c r="S47" s="7" t="s">
        <v>163</v>
      </c>
      <c r="T47" s="3" t="s">
        <v>163</v>
      </c>
      <c r="U47" s="4" t="s">
        <v>163</v>
      </c>
      <c r="V47" s="5" t="s">
        <v>163</v>
      </c>
      <c r="W47" s="6" t="s">
        <v>163</v>
      </c>
      <c r="X47" s="1" t="s">
        <v>163</v>
      </c>
      <c r="Y47" s="7">
        <v>13.08</v>
      </c>
      <c r="Z47" s="3" t="s">
        <v>163</v>
      </c>
      <c r="AA47" s="4" t="s">
        <v>163</v>
      </c>
      <c r="AB47" s="5">
        <v>0</v>
      </c>
      <c r="AC47" s="6">
        <v>12.15</v>
      </c>
      <c r="AD47" s="1" t="s">
        <v>163</v>
      </c>
      <c r="AE47" s="7">
        <v>0</v>
      </c>
      <c r="AF47" s="3" t="s">
        <v>163</v>
      </c>
      <c r="AG47" s="4" t="s">
        <v>163</v>
      </c>
      <c r="AH47" s="5">
        <v>0</v>
      </c>
      <c r="AI47" s="6">
        <v>11.75</v>
      </c>
      <c r="AJ47" s="1">
        <v>11.9</v>
      </c>
      <c r="AK47" s="7">
        <v>0</v>
      </c>
      <c r="AL47" s="3" t="s">
        <v>163</v>
      </c>
      <c r="AM47" s="5" t="s">
        <v>163</v>
      </c>
      <c r="AN47" s="6" t="s">
        <v>163</v>
      </c>
      <c r="AO47" s="7">
        <v>14.36</v>
      </c>
      <c r="AP47" s="3" t="s">
        <v>163</v>
      </c>
      <c r="AQ47" s="4">
        <v>0</v>
      </c>
      <c r="AR47" s="5">
        <v>0</v>
      </c>
      <c r="AS47" s="6">
        <v>10.199999999999999</v>
      </c>
      <c r="AT47" s="1">
        <v>0</v>
      </c>
      <c r="AU47" s="7">
        <v>0</v>
      </c>
      <c r="AV47" s="3" t="s">
        <v>163</v>
      </c>
      <c r="AW47" s="4">
        <v>0</v>
      </c>
      <c r="AX47" s="5">
        <v>0</v>
      </c>
      <c r="AY47" s="6">
        <v>12.82</v>
      </c>
      <c r="AZ47" s="1" t="s">
        <v>163</v>
      </c>
      <c r="BA47" s="7">
        <v>0</v>
      </c>
      <c r="BB47" s="3">
        <v>0</v>
      </c>
      <c r="BC47" s="4">
        <v>0</v>
      </c>
      <c r="BD47" s="5">
        <v>0</v>
      </c>
      <c r="BE47" s="6">
        <v>0</v>
      </c>
      <c r="BF47" s="1">
        <v>0</v>
      </c>
      <c r="BG47" s="7">
        <v>0</v>
      </c>
    </row>
    <row r="48" spans="1:59" s="40" customFormat="1">
      <c r="A48" s="31" t="s">
        <v>199</v>
      </c>
      <c r="B48" s="32">
        <f>B46*B47*B47/2</f>
        <v>1132.3501439999998</v>
      </c>
      <c r="C48" s="33" t="s">
        <v>163</v>
      </c>
      <c r="D48" s="34" t="s">
        <v>163</v>
      </c>
      <c r="E48" s="35" t="s">
        <v>163</v>
      </c>
      <c r="F48" s="36" t="s">
        <v>163</v>
      </c>
      <c r="G48" s="37" t="s">
        <v>163</v>
      </c>
      <c r="H48" s="32" t="s">
        <v>163</v>
      </c>
      <c r="I48" s="33">
        <f t="shared" ref="I48:M48" si="211">I46*I47*I47/2</f>
        <v>1127.4199644999999</v>
      </c>
      <c r="J48" s="34">
        <f t="shared" si="211"/>
        <v>1566.0174999999999</v>
      </c>
      <c r="K48" s="35">
        <f t="shared" si="211"/>
        <v>1390.8424359999999</v>
      </c>
      <c r="L48" s="36">
        <f t="shared" si="211"/>
        <v>1296.0614</v>
      </c>
      <c r="M48" s="37">
        <f t="shared" si="211"/>
        <v>1761.4848465000002</v>
      </c>
      <c r="N48" s="32" t="s">
        <v>163</v>
      </c>
      <c r="O48" s="33">
        <f t="shared" ref="O48" si="212">O46*O47*O47/2</f>
        <v>1140.092928</v>
      </c>
      <c r="P48" s="34" t="s">
        <v>163</v>
      </c>
      <c r="Q48" s="35" t="s">
        <v>163</v>
      </c>
      <c r="R48" s="36" t="s">
        <v>163</v>
      </c>
      <c r="S48" s="37" t="s">
        <v>163</v>
      </c>
      <c r="T48" s="32" t="s">
        <v>163</v>
      </c>
      <c r="U48" s="33" t="s">
        <v>163</v>
      </c>
      <c r="V48" s="34" t="s">
        <v>163</v>
      </c>
      <c r="W48" s="35" t="s">
        <v>163</v>
      </c>
      <c r="X48" s="36" t="s">
        <v>163</v>
      </c>
      <c r="Y48" s="37">
        <f t="shared" ref="Y48" si="213">Y46*Y47*Y47/2</f>
        <v>1430.2823040000001</v>
      </c>
      <c r="Z48" s="32" t="s">
        <v>163</v>
      </c>
      <c r="AA48" s="33" t="s">
        <v>163</v>
      </c>
      <c r="AB48" s="34">
        <f t="shared" ref="AB48:AE48" si="214">AB46*AB47*AB47/2</f>
        <v>0</v>
      </c>
      <c r="AC48" s="35">
        <f t="shared" si="214"/>
        <v>1249.6244624999999</v>
      </c>
      <c r="AD48" s="36" t="s">
        <v>163</v>
      </c>
      <c r="AE48" s="37">
        <f t="shared" si="214"/>
        <v>0</v>
      </c>
      <c r="AF48" s="32" t="s">
        <v>163</v>
      </c>
      <c r="AG48" s="33" t="s">
        <v>163</v>
      </c>
      <c r="AH48" s="34">
        <f t="shared" ref="AH48:AK48" si="215">AH46*AH47*AH47/2</f>
        <v>0</v>
      </c>
      <c r="AI48" s="35">
        <f t="shared" si="215"/>
        <v>1038.9203125000001</v>
      </c>
      <c r="AJ48" s="36">
        <f t="shared" si="215"/>
        <v>1129.3397500000001</v>
      </c>
      <c r="AK48" s="37">
        <f t="shared" si="215"/>
        <v>0</v>
      </c>
      <c r="AL48" s="32" t="s">
        <v>163</v>
      </c>
      <c r="AM48" s="39" t="s">
        <v>163</v>
      </c>
      <c r="AN48" s="35" t="s">
        <v>163</v>
      </c>
      <c r="AO48" s="37">
        <f t="shared" ref="AO48" si="216">AO46*AO47*AO47/2</f>
        <v>1971.3637759999999</v>
      </c>
      <c r="AP48" s="32" t="s">
        <v>163</v>
      </c>
      <c r="AQ48" s="33">
        <f t="shared" ref="AQ48:AU48" si="217">AQ46*AQ47*AQ47/2</f>
        <v>0</v>
      </c>
      <c r="AR48" s="34">
        <f t="shared" si="217"/>
        <v>0</v>
      </c>
      <c r="AS48" s="35">
        <f t="shared" si="217"/>
        <v>833.36039999999991</v>
      </c>
      <c r="AT48" s="36">
        <f t="shared" si="217"/>
        <v>0</v>
      </c>
      <c r="AU48" s="37">
        <f t="shared" si="217"/>
        <v>0</v>
      </c>
      <c r="AV48" s="32" t="s">
        <v>163</v>
      </c>
      <c r="AW48" s="33">
        <f t="shared" ref="AW48:AY48" si="218">AW46*AW47*AW47/2</f>
        <v>0</v>
      </c>
      <c r="AX48" s="34">
        <f t="shared" si="218"/>
        <v>0</v>
      </c>
      <c r="AY48" s="35">
        <f t="shared" si="218"/>
        <v>1143.0709420000001</v>
      </c>
      <c r="AZ48" s="36" t="s">
        <v>163</v>
      </c>
      <c r="BA48" s="37">
        <f t="shared" ref="BA48" si="219">BA46*BA47*BA47/2</f>
        <v>0</v>
      </c>
      <c r="BB48" s="32">
        <f>BB46*BB47*BB47/2</f>
        <v>0</v>
      </c>
      <c r="BC48" s="33">
        <f t="shared" ref="BC48:BG48" si="220">BC46*BC47*BC47/2</f>
        <v>0</v>
      </c>
      <c r="BD48" s="34">
        <f t="shared" si="220"/>
        <v>0</v>
      </c>
      <c r="BE48" s="35">
        <f t="shared" si="220"/>
        <v>0</v>
      </c>
      <c r="BF48" s="36">
        <f t="shared" si="220"/>
        <v>0</v>
      </c>
      <c r="BG48" s="37">
        <f t="shared" si="220"/>
        <v>0</v>
      </c>
    </row>
    <row r="49" spans="1:59">
      <c r="A49" s="31" t="s">
        <v>200</v>
      </c>
      <c r="B49" s="3">
        <v>15.93</v>
      </c>
      <c r="C49" s="4" t="s">
        <v>163</v>
      </c>
      <c r="D49" s="5" t="s">
        <v>163</v>
      </c>
      <c r="E49" s="6" t="s">
        <v>163</v>
      </c>
      <c r="F49" s="1" t="s">
        <v>163</v>
      </c>
      <c r="G49" s="7" t="s">
        <v>163</v>
      </c>
      <c r="H49" s="3" t="s">
        <v>163</v>
      </c>
      <c r="I49" s="4">
        <v>19.84</v>
      </c>
      <c r="J49" s="5" t="s">
        <v>163</v>
      </c>
      <c r="K49" s="6">
        <v>16.27</v>
      </c>
      <c r="L49" s="1">
        <v>16.16</v>
      </c>
      <c r="M49" s="7" t="s">
        <v>163</v>
      </c>
      <c r="N49" s="3" t="s">
        <v>163</v>
      </c>
      <c r="O49" s="4">
        <v>14.59</v>
      </c>
      <c r="P49" s="5" t="s">
        <v>163</v>
      </c>
      <c r="Q49" s="6" t="s">
        <v>163</v>
      </c>
      <c r="R49" s="1" t="s">
        <v>163</v>
      </c>
      <c r="S49" s="7" t="s">
        <v>163</v>
      </c>
      <c r="T49" s="3" t="s">
        <v>163</v>
      </c>
      <c r="U49" s="4" t="s">
        <v>163</v>
      </c>
      <c r="V49" s="5" t="s">
        <v>163</v>
      </c>
      <c r="W49" s="6" t="s">
        <v>163</v>
      </c>
      <c r="X49" s="1" t="s">
        <v>163</v>
      </c>
      <c r="Y49" s="7" t="s">
        <v>163</v>
      </c>
      <c r="Z49" s="3" t="s">
        <v>163</v>
      </c>
      <c r="AA49" s="4" t="s">
        <v>163</v>
      </c>
      <c r="AB49" s="5">
        <v>0</v>
      </c>
      <c r="AC49" s="6">
        <v>19.7</v>
      </c>
      <c r="AD49" s="1" t="s">
        <v>163</v>
      </c>
      <c r="AE49" s="7">
        <v>0</v>
      </c>
      <c r="AF49" s="3" t="s">
        <v>163</v>
      </c>
      <c r="AG49" s="4" t="s">
        <v>163</v>
      </c>
      <c r="AH49" s="5">
        <v>0</v>
      </c>
      <c r="AI49" s="6">
        <v>15.05</v>
      </c>
      <c r="AJ49" s="1">
        <v>15.67</v>
      </c>
      <c r="AK49" s="7">
        <v>0</v>
      </c>
      <c r="AL49" s="3" t="s">
        <v>163</v>
      </c>
      <c r="AM49" s="5" t="s">
        <v>163</v>
      </c>
      <c r="AN49" s="6" t="s">
        <v>163</v>
      </c>
      <c r="AO49" s="7" t="s">
        <v>163</v>
      </c>
      <c r="AP49" s="3" t="s">
        <v>163</v>
      </c>
      <c r="AQ49" s="4">
        <v>0</v>
      </c>
      <c r="AR49" s="5">
        <v>0</v>
      </c>
      <c r="AS49" s="6">
        <v>16.52</v>
      </c>
      <c r="AT49" s="1">
        <v>0</v>
      </c>
      <c r="AU49" s="7">
        <v>0</v>
      </c>
      <c r="AV49" s="3" t="s">
        <v>163</v>
      </c>
      <c r="AW49" s="4">
        <v>0</v>
      </c>
      <c r="AX49" s="5">
        <v>0</v>
      </c>
      <c r="AY49" s="6">
        <v>14.16</v>
      </c>
      <c r="AZ49" s="1" t="s">
        <v>163</v>
      </c>
      <c r="BA49" s="7">
        <v>0</v>
      </c>
      <c r="BB49" s="3">
        <v>0</v>
      </c>
      <c r="BC49" s="4">
        <v>0</v>
      </c>
      <c r="BD49" s="5">
        <v>0</v>
      </c>
      <c r="BE49" s="6">
        <v>0</v>
      </c>
      <c r="BF49" s="1">
        <v>0</v>
      </c>
      <c r="BG49" s="7">
        <v>0</v>
      </c>
    </row>
    <row r="50" spans="1:59">
      <c r="A50" s="31" t="s">
        <v>201</v>
      </c>
      <c r="B50" s="3">
        <v>13.38</v>
      </c>
      <c r="C50" s="4" t="s">
        <v>163</v>
      </c>
      <c r="D50" s="5" t="s">
        <v>163</v>
      </c>
      <c r="E50" s="6" t="s">
        <v>163</v>
      </c>
      <c r="F50" s="1" t="s">
        <v>163</v>
      </c>
      <c r="G50" s="7" t="s">
        <v>163</v>
      </c>
      <c r="H50" s="3" t="s">
        <v>163</v>
      </c>
      <c r="I50" s="4">
        <v>12.85</v>
      </c>
      <c r="J50" s="5" t="s">
        <v>163</v>
      </c>
      <c r="K50" s="6">
        <v>13.8</v>
      </c>
      <c r="L50" s="1">
        <v>15.06</v>
      </c>
      <c r="M50" s="7" t="s">
        <v>163</v>
      </c>
      <c r="N50" s="3" t="s">
        <v>163</v>
      </c>
      <c r="O50" s="4">
        <v>13.95</v>
      </c>
      <c r="P50" s="5" t="s">
        <v>163</v>
      </c>
      <c r="Q50" s="6" t="s">
        <v>163</v>
      </c>
      <c r="R50" s="1" t="s">
        <v>163</v>
      </c>
      <c r="S50" s="7" t="s">
        <v>163</v>
      </c>
      <c r="T50" s="3" t="s">
        <v>163</v>
      </c>
      <c r="U50" s="4" t="s">
        <v>163</v>
      </c>
      <c r="V50" s="5" t="s">
        <v>163</v>
      </c>
      <c r="W50" s="6" t="s">
        <v>163</v>
      </c>
      <c r="X50" s="1" t="s">
        <v>163</v>
      </c>
      <c r="Y50" s="7" t="s">
        <v>163</v>
      </c>
      <c r="Z50" s="3" t="s">
        <v>163</v>
      </c>
      <c r="AA50" s="4" t="s">
        <v>163</v>
      </c>
      <c r="AB50" s="5">
        <v>0</v>
      </c>
      <c r="AC50" s="6">
        <v>14.14</v>
      </c>
      <c r="AD50" s="1" t="s">
        <v>163</v>
      </c>
      <c r="AE50" s="7">
        <v>0</v>
      </c>
      <c r="AF50" s="3" t="s">
        <v>163</v>
      </c>
      <c r="AG50" s="4" t="s">
        <v>163</v>
      </c>
      <c r="AH50" s="5">
        <v>0</v>
      </c>
      <c r="AI50" s="6">
        <v>13.36</v>
      </c>
      <c r="AJ50" s="1">
        <v>12.65</v>
      </c>
      <c r="AK50" s="7">
        <v>0</v>
      </c>
      <c r="AL50" s="3" t="s">
        <v>163</v>
      </c>
      <c r="AM50" s="5" t="s">
        <v>163</v>
      </c>
      <c r="AN50" s="6" t="s">
        <v>163</v>
      </c>
      <c r="AO50" s="7" t="s">
        <v>163</v>
      </c>
      <c r="AP50" s="3" t="s">
        <v>163</v>
      </c>
      <c r="AQ50" s="4">
        <v>0</v>
      </c>
      <c r="AR50" s="5">
        <v>0</v>
      </c>
      <c r="AS50" s="6">
        <v>13.26</v>
      </c>
      <c r="AT50" s="1">
        <v>0</v>
      </c>
      <c r="AU50" s="7">
        <v>0</v>
      </c>
      <c r="AV50" s="3" t="s">
        <v>163</v>
      </c>
      <c r="AW50" s="4">
        <v>0</v>
      </c>
      <c r="AX50" s="5">
        <v>0</v>
      </c>
      <c r="AY50" s="6">
        <v>12.91</v>
      </c>
      <c r="AZ50" s="1" t="s">
        <v>163</v>
      </c>
      <c r="BA50" s="7">
        <v>0</v>
      </c>
      <c r="BB50" s="3">
        <v>0</v>
      </c>
      <c r="BC50" s="4">
        <v>0</v>
      </c>
      <c r="BD50" s="5">
        <v>0</v>
      </c>
      <c r="BE50" s="6">
        <v>0</v>
      </c>
      <c r="BF50" s="1">
        <v>0</v>
      </c>
      <c r="BG50" s="7">
        <v>0</v>
      </c>
    </row>
    <row r="51" spans="1:59" s="40" customFormat="1">
      <c r="A51" s="31" t="s">
        <v>202</v>
      </c>
      <c r="B51" s="32">
        <f>B49*B50*B50/2</f>
        <v>1425.9293460000001</v>
      </c>
      <c r="C51" s="33" t="s">
        <v>163</v>
      </c>
      <c r="D51" s="34" t="s">
        <v>163</v>
      </c>
      <c r="E51" s="35" t="s">
        <v>163</v>
      </c>
      <c r="F51" s="36" t="s">
        <v>163</v>
      </c>
      <c r="G51" s="37" t="s">
        <v>163</v>
      </c>
      <c r="H51" s="32" t="s">
        <v>163</v>
      </c>
      <c r="I51" s="33">
        <f t="shared" ref="I51:L51" si="221">I49*I50*I50/2</f>
        <v>1638.0151999999998</v>
      </c>
      <c r="J51" s="34" t="s">
        <v>163</v>
      </c>
      <c r="K51" s="35">
        <f t="shared" si="221"/>
        <v>1549.2294000000002</v>
      </c>
      <c r="L51" s="36">
        <f t="shared" si="221"/>
        <v>1832.5730880000001</v>
      </c>
      <c r="M51" s="37" t="s">
        <v>163</v>
      </c>
      <c r="N51" s="32" t="s">
        <v>163</v>
      </c>
      <c r="O51" s="33">
        <f>O49*O50*O50/2</f>
        <v>1419.6252374999999</v>
      </c>
      <c r="P51" s="34" t="s">
        <v>163</v>
      </c>
      <c r="Q51" s="35" t="s">
        <v>163</v>
      </c>
      <c r="R51" s="36" t="s">
        <v>163</v>
      </c>
      <c r="S51" s="37" t="s">
        <v>163</v>
      </c>
      <c r="T51" s="32" t="s">
        <v>163</v>
      </c>
      <c r="U51" s="33" t="s">
        <v>163</v>
      </c>
      <c r="V51" s="34" t="s">
        <v>163</v>
      </c>
      <c r="W51" s="35" t="s">
        <v>163</v>
      </c>
      <c r="X51" s="36" t="s">
        <v>163</v>
      </c>
      <c r="Y51" s="37" t="s">
        <v>163</v>
      </c>
      <c r="Z51" s="32" t="s">
        <v>163</v>
      </c>
      <c r="AA51" s="33" t="s">
        <v>163</v>
      </c>
      <c r="AB51" s="34">
        <f t="shared" ref="AB51:AC51" si="222">AB49*AB50*AB50/2</f>
        <v>0</v>
      </c>
      <c r="AC51" s="35">
        <f t="shared" si="222"/>
        <v>1969.40506</v>
      </c>
      <c r="AD51" s="36" t="s">
        <v>163</v>
      </c>
      <c r="AE51" s="37">
        <f t="shared" ref="AE51" si="223">AE49*AE50*AE50/2</f>
        <v>0</v>
      </c>
      <c r="AF51" s="32" t="s">
        <v>163</v>
      </c>
      <c r="AG51" s="33" t="s">
        <v>163</v>
      </c>
      <c r="AH51" s="34">
        <f t="shared" ref="AH51:AK51" si="224">AH49*AH50*AH50/2</f>
        <v>0</v>
      </c>
      <c r="AI51" s="35">
        <f t="shared" si="224"/>
        <v>1343.1342400000001</v>
      </c>
      <c r="AJ51" s="36">
        <f t="shared" si="224"/>
        <v>1253.7762875000001</v>
      </c>
      <c r="AK51" s="37">
        <f t="shared" si="224"/>
        <v>0</v>
      </c>
      <c r="AL51" s="32" t="s">
        <v>163</v>
      </c>
      <c r="AM51" s="39" t="s">
        <v>163</v>
      </c>
      <c r="AN51" s="35" t="s">
        <v>163</v>
      </c>
      <c r="AO51" s="37" t="s">
        <v>163</v>
      </c>
      <c r="AP51" s="32" t="s">
        <v>163</v>
      </c>
      <c r="AQ51" s="33">
        <f t="shared" ref="AQ51:AU51" si="225">AQ49*AQ50*AQ50/2</f>
        <v>0</v>
      </c>
      <c r="AR51" s="34">
        <f t="shared" si="225"/>
        <v>0</v>
      </c>
      <c r="AS51" s="35">
        <f t="shared" si="225"/>
        <v>1452.3359759999998</v>
      </c>
      <c r="AT51" s="36">
        <f t="shared" si="225"/>
        <v>0</v>
      </c>
      <c r="AU51" s="37">
        <f t="shared" si="225"/>
        <v>0</v>
      </c>
      <c r="AV51" s="32" t="s">
        <v>163</v>
      </c>
      <c r="AW51" s="33">
        <f t="shared" ref="AW51:AY51" si="226">AW49*AW50*AW50/2</f>
        <v>0</v>
      </c>
      <c r="AX51" s="34">
        <f t="shared" si="226"/>
        <v>0</v>
      </c>
      <c r="AY51" s="35">
        <f t="shared" si="226"/>
        <v>1180.0101480000001</v>
      </c>
      <c r="AZ51" s="36" t="s">
        <v>163</v>
      </c>
      <c r="BA51" s="37">
        <f t="shared" ref="BA51" si="227">BA49*BA50*BA50/2</f>
        <v>0</v>
      </c>
      <c r="BB51" s="32">
        <f>BB49*BB50*BB50/2</f>
        <v>0</v>
      </c>
      <c r="BC51" s="33">
        <f t="shared" ref="BC51:BG51" si="228">BC49*BC50*BC50/2</f>
        <v>0</v>
      </c>
      <c r="BD51" s="34">
        <f t="shared" si="228"/>
        <v>0</v>
      </c>
      <c r="BE51" s="35">
        <f t="shared" si="228"/>
        <v>0</v>
      </c>
      <c r="BF51" s="36">
        <f t="shared" si="228"/>
        <v>0</v>
      </c>
      <c r="BG51" s="37">
        <f t="shared" si="228"/>
        <v>0</v>
      </c>
    </row>
    <row r="52" spans="1:59">
      <c r="A52" s="31" t="s">
        <v>203</v>
      </c>
      <c r="B52" s="3" t="s">
        <v>163</v>
      </c>
      <c r="C52" s="4" t="s">
        <v>163</v>
      </c>
      <c r="D52" s="5" t="s">
        <v>163</v>
      </c>
      <c r="E52" s="6" t="s">
        <v>163</v>
      </c>
      <c r="F52" s="1" t="s">
        <v>163</v>
      </c>
      <c r="G52" s="7" t="s">
        <v>163</v>
      </c>
      <c r="H52" s="3" t="s">
        <v>163</v>
      </c>
      <c r="I52" s="4" t="s">
        <v>163</v>
      </c>
      <c r="J52" s="5" t="s">
        <v>163</v>
      </c>
      <c r="K52" s="6" t="s">
        <v>163</v>
      </c>
      <c r="L52" s="1" t="s">
        <v>163</v>
      </c>
      <c r="M52" s="7" t="s">
        <v>163</v>
      </c>
      <c r="N52" s="3" t="s">
        <v>163</v>
      </c>
      <c r="O52" s="4" t="s">
        <v>163</v>
      </c>
      <c r="P52" s="5" t="s">
        <v>163</v>
      </c>
      <c r="Q52" s="6" t="s">
        <v>163</v>
      </c>
      <c r="R52" s="1" t="s">
        <v>163</v>
      </c>
      <c r="S52" s="7" t="s">
        <v>163</v>
      </c>
      <c r="T52" s="3" t="s">
        <v>163</v>
      </c>
      <c r="U52" s="4" t="s">
        <v>163</v>
      </c>
      <c r="V52" s="5" t="s">
        <v>163</v>
      </c>
      <c r="W52" s="6" t="s">
        <v>163</v>
      </c>
      <c r="X52" s="1" t="s">
        <v>163</v>
      </c>
      <c r="Y52" s="7" t="s">
        <v>163</v>
      </c>
      <c r="Z52" s="3" t="s">
        <v>163</v>
      </c>
      <c r="AA52" s="4" t="s">
        <v>163</v>
      </c>
      <c r="AB52" s="5">
        <v>0</v>
      </c>
      <c r="AC52" s="6" t="s">
        <v>163</v>
      </c>
      <c r="AD52" s="1" t="s">
        <v>163</v>
      </c>
      <c r="AE52" s="7">
        <v>0</v>
      </c>
      <c r="AF52" s="3" t="s">
        <v>163</v>
      </c>
      <c r="AG52" s="4" t="s">
        <v>163</v>
      </c>
      <c r="AH52" s="5">
        <v>0</v>
      </c>
      <c r="AI52" s="6">
        <v>15.73</v>
      </c>
      <c r="AJ52" s="1" t="s">
        <v>163</v>
      </c>
      <c r="AK52" s="7">
        <v>0</v>
      </c>
      <c r="AL52" s="3" t="s">
        <v>163</v>
      </c>
      <c r="AM52" s="5" t="s">
        <v>163</v>
      </c>
      <c r="AN52" s="6" t="s">
        <v>163</v>
      </c>
      <c r="AO52" s="7" t="s">
        <v>163</v>
      </c>
      <c r="AP52" s="3" t="s">
        <v>163</v>
      </c>
      <c r="AQ52" s="4">
        <v>0</v>
      </c>
      <c r="AR52" s="5">
        <v>0</v>
      </c>
      <c r="AS52" s="6">
        <v>19.91</v>
      </c>
      <c r="AT52" s="1">
        <v>0</v>
      </c>
      <c r="AU52" s="7">
        <v>0</v>
      </c>
      <c r="AV52" s="3" t="s">
        <v>163</v>
      </c>
      <c r="AW52" s="4">
        <v>0</v>
      </c>
      <c r="AX52" s="5">
        <v>0</v>
      </c>
      <c r="AY52" s="6">
        <v>19.22</v>
      </c>
      <c r="AZ52" s="1" t="s">
        <v>163</v>
      </c>
      <c r="BA52" s="7">
        <v>0</v>
      </c>
      <c r="BB52" s="3">
        <v>0</v>
      </c>
      <c r="BC52" s="4">
        <v>0</v>
      </c>
      <c r="BD52" s="5">
        <v>0</v>
      </c>
      <c r="BE52" s="6">
        <v>0</v>
      </c>
      <c r="BF52" s="1">
        <v>0</v>
      </c>
      <c r="BG52" s="7">
        <v>0</v>
      </c>
    </row>
    <row r="53" spans="1:59">
      <c r="A53" s="31" t="s">
        <v>204</v>
      </c>
      <c r="B53" s="3" t="s">
        <v>163</v>
      </c>
      <c r="C53" s="4" t="s">
        <v>163</v>
      </c>
      <c r="D53" s="5" t="s">
        <v>163</v>
      </c>
      <c r="E53" s="6" t="s">
        <v>163</v>
      </c>
      <c r="F53" s="1" t="s">
        <v>163</v>
      </c>
      <c r="G53" s="7" t="s">
        <v>163</v>
      </c>
      <c r="H53" s="3" t="s">
        <v>163</v>
      </c>
      <c r="I53" s="4" t="s">
        <v>163</v>
      </c>
      <c r="J53" s="5" t="s">
        <v>163</v>
      </c>
      <c r="K53" s="6" t="s">
        <v>163</v>
      </c>
      <c r="L53" s="1" t="s">
        <v>163</v>
      </c>
      <c r="M53" s="7" t="s">
        <v>163</v>
      </c>
      <c r="N53" s="3" t="s">
        <v>163</v>
      </c>
      <c r="O53" s="4" t="s">
        <v>163</v>
      </c>
      <c r="P53" s="5" t="s">
        <v>163</v>
      </c>
      <c r="Q53" s="6" t="s">
        <v>163</v>
      </c>
      <c r="R53" s="1" t="s">
        <v>163</v>
      </c>
      <c r="S53" s="7" t="s">
        <v>163</v>
      </c>
      <c r="T53" s="3" t="s">
        <v>163</v>
      </c>
      <c r="U53" s="4" t="s">
        <v>163</v>
      </c>
      <c r="V53" s="5" t="s">
        <v>163</v>
      </c>
      <c r="W53" s="6" t="s">
        <v>163</v>
      </c>
      <c r="X53" s="1" t="s">
        <v>163</v>
      </c>
      <c r="Y53" s="7" t="s">
        <v>163</v>
      </c>
      <c r="Z53" s="3" t="s">
        <v>163</v>
      </c>
      <c r="AA53" s="4" t="s">
        <v>163</v>
      </c>
      <c r="AB53" s="5">
        <v>0</v>
      </c>
      <c r="AC53" s="6" t="s">
        <v>163</v>
      </c>
      <c r="AD53" s="1" t="s">
        <v>163</v>
      </c>
      <c r="AE53" s="7">
        <v>0</v>
      </c>
      <c r="AF53" s="3" t="s">
        <v>163</v>
      </c>
      <c r="AG53" s="4" t="s">
        <v>163</v>
      </c>
      <c r="AH53" s="5">
        <v>0</v>
      </c>
      <c r="AI53" s="6">
        <v>13.52</v>
      </c>
      <c r="AJ53" s="1" t="s">
        <v>163</v>
      </c>
      <c r="AK53" s="7">
        <v>0</v>
      </c>
      <c r="AL53" s="3" t="s">
        <v>163</v>
      </c>
      <c r="AM53" s="5" t="s">
        <v>163</v>
      </c>
      <c r="AN53" s="6" t="s">
        <v>163</v>
      </c>
      <c r="AO53" s="7" t="s">
        <v>163</v>
      </c>
      <c r="AP53" s="3" t="s">
        <v>163</v>
      </c>
      <c r="AQ53" s="4">
        <v>0</v>
      </c>
      <c r="AR53" s="5">
        <v>0</v>
      </c>
      <c r="AS53" s="6">
        <v>15.38</v>
      </c>
      <c r="AT53" s="1">
        <v>0</v>
      </c>
      <c r="AU53" s="7">
        <v>0</v>
      </c>
      <c r="AV53" s="3" t="s">
        <v>163</v>
      </c>
      <c r="AW53" s="4">
        <v>0</v>
      </c>
      <c r="AX53" s="5">
        <v>0</v>
      </c>
      <c r="AY53" s="6">
        <v>14.41</v>
      </c>
      <c r="AZ53" s="1" t="s">
        <v>163</v>
      </c>
      <c r="BA53" s="7">
        <v>0</v>
      </c>
      <c r="BB53" s="3">
        <v>0</v>
      </c>
      <c r="BC53" s="4">
        <v>0</v>
      </c>
      <c r="BD53" s="5">
        <v>0</v>
      </c>
      <c r="BE53" s="6">
        <v>0</v>
      </c>
      <c r="BF53" s="1">
        <v>0</v>
      </c>
      <c r="BG53" s="7">
        <v>0</v>
      </c>
    </row>
    <row r="54" spans="1:59" s="40" customFormat="1">
      <c r="A54" s="31" t="s">
        <v>205</v>
      </c>
      <c r="B54" s="32" t="s">
        <v>163</v>
      </c>
      <c r="C54" s="33" t="s">
        <v>163</v>
      </c>
      <c r="D54" s="34" t="s">
        <v>163</v>
      </c>
      <c r="E54" s="35" t="s">
        <v>163</v>
      </c>
      <c r="F54" s="36" t="s">
        <v>163</v>
      </c>
      <c r="G54" s="37" t="s">
        <v>163</v>
      </c>
      <c r="H54" s="32" t="s">
        <v>163</v>
      </c>
      <c r="I54" s="33" t="s">
        <v>163</v>
      </c>
      <c r="J54" s="34" t="s">
        <v>163</v>
      </c>
      <c r="K54" s="35" t="s">
        <v>163</v>
      </c>
      <c r="L54" s="36" t="s">
        <v>163</v>
      </c>
      <c r="M54" s="37" t="s">
        <v>163</v>
      </c>
      <c r="N54" s="32" t="s">
        <v>163</v>
      </c>
      <c r="O54" s="33" t="s">
        <v>163</v>
      </c>
      <c r="P54" s="34" t="s">
        <v>163</v>
      </c>
      <c r="Q54" s="35" t="s">
        <v>163</v>
      </c>
      <c r="R54" s="36" t="s">
        <v>163</v>
      </c>
      <c r="S54" s="37" t="s">
        <v>163</v>
      </c>
      <c r="T54" s="32" t="s">
        <v>163</v>
      </c>
      <c r="U54" s="33" t="s">
        <v>163</v>
      </c>
      <c r="V54" s="34" t="s">
        <v>163</v>
      </c>
      <c r="W54" s="35" t="s">
        <v>163</v>
      </c>
      <c r="X54" s="36" t="s">
        <v>163</v>
      </c>
      <c r="Y54" s="37" t="s">
        <v>163</v>
      </c>
      <c r="Z54" s="32" t="s">
        <v>163</v>
      </c>
      <c r="AA54" s="33" t="s">
        <v>163</v>
      </c>
      <c r="AB54" s="34">
        <f t="shared" ref="AB54" si="229">AB52*AB53*AB53/2</f>
        <v>0</v>
      </c>
      <c r="AC54" s="35" t="s">
        <v>163</v>
      </c>
      <c r="AD54" s="36" t="s">
        <v>163</v>
      </c>
      <c r="AE54" s="37">
        <f t="shared" ref="AE54" si="230">AE52*AE53*AE53/2</f>
        <v>0</v>
      </c>
      <c r="AF54" s="32" t="s">
        <v>163</v>
      </c>
      <c r="AG54" s="33" t="s">
        <v>163</v>
      </c>
      <c r="AH54" s="34">
        <f t="shared" ref="AH54:AK54" si="231">AH52*AH53*AH53/2</f>
        <v>0</v>
      </c>
      <c r="AI54" s="35">
        <f t="shared" si="231"/>
        <v>1437.6464960000001</v>
      </c>
      <c r="AJ54" s="36" t="s">
        <v>163</v>
      </c>
      <c r="AK54" s="37">
        <f t="shared" si="231"/>
        <v>0</v>
      </c>
      <c r="AL54" s="32" t="s">
        <v>163</v>
      </c>
      <c r="AM54" s="39" t="s">
        <v>163</v>
      </c>
      <c r="AN54" s="35" t="s">
        <v>163</v>
      </c>
      <c r="AO54" s="37" t="s">
        <v>163</v>
      </c>
      <c r="AP54" s="32" t="s">
        <v>163</v>
      </c>
      <c r="AQ54" s="33">
        <f t="shared" ref="AQ54:AU54" si="232">AQ52*AQ53*AQ53/2</f>
        <v>0</v>
      </c>
      <c r="AR54" s="34">
        <f t="shared" si="232"/>
        <v>0</v>
      </c>
      <c r="AS54" s="35">
        <f t="shared" si="232"/>
        <v>2354.7995020000003</v>
      </c>
      <c r="AT54" s="36">
        <f t="shared" si="232"/>
        <v>0</v>
      </c>
      <c r="AU54" s="37">
        <f t="shared" si="232"/>
        <v>0</v>
      </c>
      <c r="AV54" s="32" t="s">
        <v>163</v>
      </c>
      <c r="AW54" s="33">
        <f t="shared" ref="AW54:AY54" si="233">AW52*AW53*AW53/2</f>
        <v>0</v>
      </c>
      <c r="AX54" s="34">
        <f t="shared" si="233"/>
        <v>0</v>
      </c>
      <c r="AY54" s="35">
        <f t="shared" si="233"/>
        <v>1995.498241</v>
      </c>
      <c r="AZ54" s="36" t="s">
        <v>163</v>
      </c>
      <c r="BA54" s="37">
        <f t="shared" ref="BA54" si="234">BA52*BA53*BA53/2</f>
        <v>0</v>
      </c>
      <c r="BB54" s="32">
        <f>BB52*BB53*BB53/2</f>
        <v>0</v>
      </c>
      <c r="BC54" s="33">
        <f t="shared" ref="BC54:BG54" si="235">BC52*BC53*BC53/2</f>
        <v>0</v>
      </c>
      <c r="BD54" s="34">
        <f t="shared" si="235"/>
        <v>0</v>
      </c>
      <c r="BE54" s="35">
        <f t="shared" si="235"/>
        <v>0</v>
      </c>
      <c r="BF54" s="36">
        <f t="shared" si="235"/>
        <v>0</v>
      </c>
      <c r="BG54" s="37">
        <f t="shared" si="235"/>
        <v>0</v>
      </c>
    </row>
  </sheetData>
  <conditionalFormatting sqref="B42 D42:E42 G42:Q42 Y42:AL42 AO42:AY42 BA42:BG42">
    <cfRule type="cellIs" dxfId="6" priority="9" operator="greaterThanOrEqual">
      <formula>1500</formula>
    </cfRule>
  </conditionalFormatting>
  <conditionalFormatting sqref="B45 E45 G45:O45 Q45 W45 Y45:Z45 AB45:AC45 AE45 AG45:AK45 AO45:AY45 BA45:BG45">
    <cfRule type="cellIs" dxfId="5" priority="8" operator="greaterThanOrEqual">
      <formula>1500</formula>
    </cfRule>
  </conditionalFormatting>
  <conditionalFormatting sqref="B48 I48:M48 O48 Y48 AB48:AC48 AE48 AH48:AK48 AO48 AQ48:AU48 AW48:AY48 BA48:BG48">
    <cfRule type="cellIs" dxfId="4" priority="7" operator="greaterThanOrEqual">
      <formula>1500</formula>
    </cfRule>
  </conditionalFormatting>
  <conditionalFormatting sqref="B51 I51 K51:L51 O51 AB51:AC51 AE51 AH51:AK51 AQ51:AU51 AW51:AY51 BA51:BG51">
    <cfRule type="cellIs" dxfId="3" priority="2" operator="greaterThanOrEqual">
      <formula>1500</formula>
    </cfRule>
  </conditionalFormatting>
  <conditionalFormatting sqref="B39:Q39 S39:AY39 BA39:BG39">
    <cfRule type="cellIs" dxfId="2" priority="10" operator="greaterThanOrEqual">
      <formula>1500</formula>
    </cfRule>
  </conditionalFormatting>
  <conditionalFormatting sqref="S42:U42 W42">
    <cfRule type="cellIs" dxfId="1" priority="5" operator="greaterThanOrEqual">
      <formula>1500</formula>
    </cfRule>
  </conditionalFormatting>
  <conditionalFormatting sqref="AB54 AE54 AH54:AI54 AK54 AQ54:AU54 AW54:AY54 BA54:BG54">
    <cfRule type="cellIs" dxfId="0" priority="1" operator="greaterThanOrEqual">
      <formula>1500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3178-886D-4749-870B-5A20A57B8EE2}">
  <dimension ref="A1:BG36"/>
  <sheetViews>
    <sheetView workbookViewId="0">
      <pane ySplit="4" topLeftCell="A11" activePane="bottomLeft" state="frozen"/>
      <selection pane="bottomLeft" activeCell="A34" sqref="A34"/>
    </sheetView>
  </sheetViews>
  <sheetFormatPr defaultColWidth="45" defaultRowHeight="15"/>
  <cols>
    <col min="1" max="1" width="16.7109375" style="29" customWidth="1"/>
    <col min="2" max="16384" width="45" style="2"/>
  </cols>
  <sheetData>
    <row r="1" spans="1:59" s="29" customFormat="1">
      <c r="A1" s="22" t="s">
        <v>0</v>
      </c>
      <c r="B1" s="23" t="s">
        <v>1</v>
      </c>
      <c r="C1" s="24" t="s">
        <v>2</v>
      </c>
      <c r="D1" s="25" t="s">
        <v>3</v>
      </c>
      <c r="E1" s="26" t="s">
        <v>4</v>
      </c>
      <c r="F1" s="27" t="s">
        <v>5</v>
      </c>
      <c r="G1" s="28" t="s">
        <v>6</v>
      </c>
      <c r="H1" s="23" t="s">
        <v>7</v>
      </c>
      <c r="I1" s="24" t="s">
        <v>8</v>
      </c>
      <c r="J1" s="25" t="s">
        <v>9</v>
      </c>
      <c r="K1" s="26" t="s">
        <v>10</v>
      </c>
      <c r="L1" s="27" t="s">
        <v>11</v>
      </c>
      <c r="M1" s="28" t="s">
        <v>12</v>
      </c>
      <c r="N1" s="23" t="s">
        <v>13</v>
      </c>
      <c r="O1" s="24" t="s">
        <v>14</v>
      </c>
      <c r="P1" s="25" t="s">
        <v>15</v>
      </c>
      <c r="Q1" s="26" t="s">
        <v>16</v>
      </c>
      <c r="R1" s="27" t="s">
        <v>17</v>
      </c>
      <c r="S1" s="28" t="s">
        <v>18</v>
      </c>
      <c r="T1" s="23" t="s">
        <v>19</v>
      </c>
      <c r="U1" s="24" t="s">
        <v>20</v>
      </c>
      <c r="V1" s="25" t="s">
        <v>21</v>
      </c>
      <c r="W1" s="26" t="s">
        <v>22</v>
      </c>
      <c r="X1" s="27" t="s">
        <v>23</v>
      </c>
      <c r="Y1" s="28" t="s">
        <v>24</v>
      </c>
      <c r="Z1" s="23" t="s">
        <v>25</v>
      </c>
      <c r="AA1" s="24" t="s">
        <v>26</v>
      </c>
      <c r="AB1" s="25" t="s">
        <v>27</v>
      </c>
      <c r="AC1" s="26" t="s">
        <v>28</v>
      </c>
      <c r="AD1" s="27" t="s">
        <v>29</v>
      </c>
      <c r="AE1" s="28" t="s">
        <v>30</v>
      </c>
      <c r="AF1" s="23" t="s">
        <v>31</v>
      </c>
      <c r="AG1" s="24" t="s">
        <v>32</v>
      </c>
      <c r="AH1" s="25" t="s">
        <v>33</v>
      </c>
      <c r="AI1" s="26" t="s">
        <v>34</v>
      </c>
      <c r="AJ1" s="27" t="s">
        <v>35</v>
      </c>
      <c r="AK1" s="28" t="s">
        <v>36</v>
      </c>
      <c r="AL1" s="23" t="s">
        <v>37</v>
      </c>
      <c r="AM1" s="25" t="s">
        <v>38</v>
      </c>
      <c r="AN1" s="26" t="s">
        <v>39</v>
      </c>
      <c r="AO1" s="28" t="s">
        <v>40</v>
      </c>
      <c r="AP1" s="23" t="s">
        <v>41</v>
      </c>
      <c r="AQ1" s="24" t="s">
        <v>42</v>
      </c>
      <c r="AR1" s="25" t="s">
        <v>43</v>
      </c>
      <c r="AS1" s="26" t="s">
        <v>44</v>
      </c>
      <c r="AT1" s="27" t="s">
        <v>45</v>
      </c>
      <c r="AU1" s="28" t="s">
        <v>46</v>
      </c>
      <c r="AV1" s="23" t="s">
        <v>47</v>
      </c>
      <c r="AW1" s="24" t="s">
        <v>48</v>
      </c>
      <c r="AX1" s="25" t="s">
        <v>49</v>
      </c>
      <c r="AY1" s="26" t="s">
        <v>50</v>
      </c>
      <c r="AZ1" s="27" t="s">
        <v>51</v>
      </c>
      <c r="BA1" s="28" t="s">
        <v>52</v>
      </c>
      <c r="BB1" s="23" t="s">
        <v>53</v>
      </c>
      <c r="BC1" s="24" t="s">
        <v>54</v>
      </c>
      <c r="BD1" s="25" t="s">
        <v>55</v>
      </c>
      <c r="BE1" s="26" t="s">
        <v>56</v>
      </c>
      <c r="BF1" s="27" t="s">
        <v>57</v>
      </c>
      <c r="BG1" s="28" t="s">
        <v>58</v>
      </c>
    </row>
    <row r="2" spans="1:59" hidden="1">
      <c r="A2" s="30" t="s">
        <v>59</v>
      </c>
      <c r="B2" s="3" t="s">
        <v>60</v>
      </c>
      <c r="C2" s="4" t="s">
        <v>60</v>
      </c>
      <c r="D2" s="5" t="s">
        <v>60</v>
      </c>
      <c r="E2" s="6" t="s">
        <v>60</v>
      </c>
      <c r="F2" s="1" t="s">
        <v>60</v>
      </c>
      <c r="G2" s="7" t="s">
        <v>60</v>
      </c>
      <c r="H2" s="3" t="s">
        <v>60</v>
      </c>
      <c r="I2" s="4" t="s">
        <v>60</v>
      </c>
      <c r="J2" s="5" t="s">
        <v>60</v>
      </c>
      <c r="K2" s="6" t="s">
        <v>60</v>
      </c>
      <c r="L2" s="1" t="s">
        <v>60</v>
      </c>
      <c r="M2" s="7" t="s">
        <v>60</v>
      </c>
      <c r="N2" s="3" t="s">
        <v>60</v>
      </c>
      <c r="O2" s="4" t="s">
        <v>60</v>
      </c>
      <c r="P2" s="5" t="s">
        <v>60</v>
      </c>
      <c r="Q2" s="6" t="s">
        <v>60</v>
      </c>
      <c r="R2" s="1" t="s">
        <v>60</v>
      </c>
      <c r="S2" s="7" t="s">
        <v>60</v>
      </c>
      <c r="T2" s="3" t="s">
        <v>60</v>
      </c>
      <c r="U2" s="4" t="s">
        <v>60</v>
      </c>
      <c r="V2" s="5" t="s">
        <v>60</v>
      </c>
      <c r="W2" s="6" t="s">
        <v>60</v>
      </c>
      <c r="X2" s="1" t="s">
        <v>60</v>
      </c>
      <c r="Y2" s="7" t="s">
        <v>60</v>
      </c>
      <c r="Z2" s="3" t="s">
        <v>60</v>
      </c>
      <c r="AA2" s="4" t="s">
        <v>60</v>
      </c>
      <c r="AB2" s="5" t="s">
        <v>60</v>
      </c>
      <c r="AC2" s="6" t="s">
        <v>60</v>
      </c>
      <c r="AD2" s="1" t="s">
        <v>60</v>
      </c>
      <c r="AE2" s="7" t="s">
        <v>60</v>
      </c>
      <c r="AF2" s="3" t="s">
        <v>60</v>
      </c>
      <c r="AG2" s="4" t="s">
        <v>60</v>
      </c>
      <c r="AH2" s="5" t="s">
        <v>60</v>
      </c>
      <c r="AI2" s="6" t="s">
        <v>60</v>
      </c>
      <c r="AJ2" s="1" t="s">
        <v>60</v>
      </c>
      <c r="AK2" s="7" t="s">
        <v>60</v>
      </c>
      <c r="AL2" s="3" t="s">
        <v>60</v>
      </c>
      <c r="AM2" s="5" t="s">
        <v>60</v>
      </c>
      <c r="AN2" s="6" t="s">
        <v>60</v>
      </c>
      <c r="AO2" s="7" t="s">
        <v>60</v>
      </c>
      <c r="AP2" s="3" t="s">
        <v>60</v>
      </c>
      <c r="AQ2" s="4" t="s">
        <v>60</v>
      </c>
      <c r="AR2" s="5" t="s">
        <v>60</v>
      </c>
      <c r="AS2" s="6" t="s">
        <v>60</v>
      </c>
      <c r="AT2" s="1" t="s">
        <v>60</v>
      </c>
      <c r="AU2" s="7" t="s">
        <v>60</v>
      </c>
      <c r="AV2" s="3" t="s">
        <v>60</v>
      </c>
      <c r="AW2" s="4" t="s">
        <v>60</v>
      </c>
      <c r="AX2" s="5" t="s">
        <v>60</v>
      </c>
      <c r="AY2" s="6" t="s">
        <v>60</v>
      </c>
      <c r="AZ2" s="1" t="s">
        <v>60</v>
      </c>
      <c r="BA2" s="7" t="s">
        <v>60</v>
      </c>
      <c r="BB2" s="3" t="s">
        <v>60</v>
      </c>
      <c r="BC2" s="4" t="s">
        <v>60</v>
      </c>
      <c r="BD2" s="5" t="s">
        <v>60</v>
      </c>
      <c r="BE2" s="6" t="s">
        <v>60</v>
      </c>
      <c r="BF2" s="1" t="s">
        <v>60</v>
      </c>
      <c r="BG2" s="7" t="s">
        <v>60</v>
      </c>
    </row>
    <row r="3" spans="1:59" hidden="1">
      <c r="A3" s="30" t="s">
        <v>61</v>
      </c>
      <c r="B3" s="8">
        <v>45888</v>
      </c>
      <c r="C3" s="9">
        <v>45888</v>
      </c>
      <c r="D3" s="10">
        <v>45888</v>
      </c>
      <c r="E3" s="11">
        <v>45889</v>
      </c>
      <c r="F3" s="12">
        <v>45889</v>
      </c>
      <c r="G3" s="13">
        <v>45889</v>
      </c>
      <c r="H3" s="8">
        <v>45889</v>
      </c>
      <c r="I3" s="9">
        <v>45889</v>
      </c>
      <c r="J3" s="10">
        <v>45889</v>
      </c>
      <c r="K3" s="11">
        <v>45889</v>
      </c>
      <c r="L3" s="12">
        <v>45889</v>
      </c>
      <c r="M3" s="13">
        <v>45889</v>
      </c>
      <c r="N3" s="8">
        <v>45889</v>
      </c>
      <c r="O3" s="9">
        <v>45889</v>
      </c>
      <c r="P3" s="10">
        <v>45889</v>
      </c>
      <c r="Q3" s="11">
        <v>45889</v>
      </c>
      <c r="R3" s="12">
        <v>45889</v>
      </c>
      <c r="S3" s="13">
        <v>45889</v>
      </c>
      <c r="T3" s="8">
        <v>45888</v>
      </c>
      <c r="U3" s="9">
        <v>45889</v>
      </c>
      <c r="V3" s="10">
        <v>45889</v>
      </c>
      <c r="W3" s="11">
        <v>45889</v>
      </c>
      <c r="X3" s="12">
        <v>45889</v>
      </c>
      <c r="Y3" s="13">
        <v>45889</v>
      </c>
      <c r="Z3" s="8">
        <v>45889</v>
      </c>
      <c r="AA3" s="9">
        <v>45889</v>
      </c>
      <c r="AB3" s="10">
        <v>45889</v>
      </c>
      <c r="AC3" s="11">
        <v>45891</v>
      </c>
      <c r="AD3" s="12">
        <v>45891</v>
      </c>
      <c r="AE3" s="13">
        <v>45891</v>
      </c>
      <c r="AF3" s="8">
        <v>45889</v>
      </c>
      <c r="AG3" s="9">
        <v>45889</v>
      </c>
      <c r="AH3" s="10">
        <v>45889</v>
      </c>
      <c r="AI3" s="11">
        <v>45889</v>
      </c>
      <c r="AJ3" s="12">
        <v>45889</v>
      </c>
      <c r="AK3" s="13">
        <v>45889</v>
      </c>
      <c r="AL3" s="8">
        <v>45892</v>
      </c>
      <c r="AM3" s="10">
        <v>45892</v>
      </c>
      <c r="AN3" s="11">
        <v>45888</v>
      </c>
      <c r="AO3" s="13">
        <v>45888</v>
      </c>
      <c r="AP3" s="8">
        <v>45891</v>
      </c>
      <c r="AQ3" s="9">
        <v>45891</v>
      </c>
      <c r="AR3" s="10">
        <v>45891</v>
      </c>
      <c r="AS3" s="11">
        <v>45889</v>
      </c>
      <c r="AT3" s="12">
        <v>45889</v>
      </c>
      <c r="AU3" s="13">
        <v>45889</v>
      </c>
      <c r="AV3" s="8">
        <v>45889</v>
      </c>
      <c r="AW3" s="9">
        <v>45889</v>
      </c>
      <c r="AX3" s="10">
        <v>45889</v>
      </c>
      <c r="AY3" s="11">
        <v>45889</v>
      </c>
      <c r="AZ3" s="12">
        <v>45889</v>
      </c>
      <c r="BA3" s="13">
        <v>45889</v>
      </c>
      <c r="BB3" s="8">
        <v>45888</v>
      </c>
      <c r="BC3" s="9">
        <v>45888</v>
      </c>
      <c r="BD3" s="10">
        <v>45888</v>
      </c>
      <c r="BE3" s="11">
        <v>45889</v>
      </c>
      <c r="BF3" s="12">
        <v>45889</v>
      </c>
      <c r="BG3" s="13">
        <v>45889</v>
      </c>
    </row>
    <row r="4" spans="1:59" hidden="1">
      <c r="A4" s="30" t="s">
        <v>62</v>
      </c>
      <c r="B4" s="3" t="s">
        <v>63</v>
      </c>
      <c r="C4" s="4" t="s">
        <v>63</v>
      </c>
      <c r="D4" s="5" t="s">
        <v>63</v>
      </c>
      <c r="E4" s="6" t="s">
        <v>63</v>
      </c>
      <c r="F4" s="1" t="s">
        <v>63</v>
      </c>
      <c r="G4" s="7" t="s">
        <v>63</v>
      </c>
      <c r="H4" s="3" t="s">
        <v>63</v>
      </c>
      <c r="I4" s="4" t="s">
        <v>63</v>
      </c>
      <c r="J4" s="5" t="s">
        <v>63</v>
      </c>
      <c r="K4" s="6" t="s">
        <v>63</v>
      </c>
      <c r="L4" s="1" t="s">
        <v>63</v>
      </c>
      <c r="M4" s="7" t="s">
        <v>63</v>
      </c>
      <c r="N4" s="3" t="s">
        <v>63</v>
      </c>
      <c r="O4" s="4" t="s">
        <v>63</v>
      </c>
      <c r="P4" s="5" t="s">
        <v>63</v>
      </c>
      <c r="Q4" s="6" t="s">
        <v>63</v>
      </c>
      <c r="R4" s="1" t="s">
        <v>63</v>
      </c>
      <c r="S4" s="7" t="s">
        <v>63</v>
      </c>
      <c r="T4" s="3" t="s">
        <v>63</v>
      </c>
      <c r="U4" s="4" t="s">
        <v>63</v>
      </c>
      <c r="V4" s="5" t="s">
        <v>63</v>
      </c>
      <c r="W4" s="6" t="s">
        <v>63</v>
      </c>
      <c r="X4" s="1" t="s">
        <v>63</v>
      </c>
      <c r="Y4" s="7" t="s">
        <v>63</v>
      </c>
      <c r="Z4" s="3" t="s">
        <v>63</v>
      </c>
      <c r="AA4" s="4" t="s">
        <v>63</v>
      </c>
      <c r="AB4" s="5" t="s">
        <v>63</v>
      </c>
      <c r="AC4" s="6" t="s">
        <v>63</v>
      </c>
      <c r="AD4" s="1" t="s">
        <v>63</v>
      </c>
      <c r="AE4" s="7" t="s">
        <v>63</v>
      </c>
      <c r="AF4" s="3" t="s">
        <v>63</v>
      </c>
      <c r="AG4" s="4" t="s">
        <v>63</v>
      </c>
      <c r="AH4" s="5" t="s">
        <v>63</v>
      </c>
      <c r="AI4" s="6" t="s">
        <v>63</v>
      </c>
      <c r="AJ4" s="1" t="s">
        <v>63</v>
      </c>
      <c r="AK4" s="7" t="s">
        <v>63</v>
      </c>
      <c r="AL4" s="3" t="s">
        <v>63</v>
      </c>
      <c r="AM4" s="5" t="s">
        <v>63</v>
      </c>
      <c r="AN4" s="6" t="s">
        <v>63</v>
      </c>
      <c r="AO4" s="7" t="s">
        <v>63</v>
      </c>
      <c r="AP4" s="3" t="s">
        <v>63</v>
      </c>
      <c r="AQ4" s="4" t="s">
        <v>63</v>
      </c>
      <c r="AR4" s="5" t="s">
        <v>63</v>
      </c>
      <c r="AS4" s="6" t="s">
        <v>63</v>
      </c>
      <c r="AT4" s="1" t="s">
        <v>63</v>
      </c>
      <c r="AU4" s="7" t="s">
        <v>63</v>
      </c>
      <c r="AV4" s="3" t="s">
        <v>63</v>
      </c>
      <c r="AW4" s="4" t="s">
        <v>63</v>
      </c>
      <c r="AX4" s="5" t="s">
        <v>63</v>
      </c>
      <c r="AY4" s="6" t="s">
        <v>63</v>
      </c>
      <c r="AZ4" s="1" t="s">
        <v>63</v>
      </c>
      <c r="BA4" s="7" t="s">
        <v>63</v>
      </c>
      <c r="BB4" s="3" t="s">
        <v>63</v>
      </c>
      <c r="BC4" s="4" t="s">
        <v>63</v>
      </c>
      <c r="BD4" s="5" t="s">
        <v>63</v>
      </c>
      <c r="BE4" s="6" t="s">
        <v>63</v>
      </c>
      <c r="BF4" s="1" t="s">
        <v>63</v>
      </c>
      <c r="BG4" s="7" t="s">
        <v>63</v>
      </c>
    </row>
    <row r="5" spans="1:59">
      <c r="A5" s="30" t="s">
        <v>64</v>
      </c>
      <c r="B5" s="3" t="s">
        <v>65</v>
      </c>
      <c r="C5" s="4" t="s">
        <v>65</v>
      </c>
      <c r="D5" s="5" t="s">
        <v>65</v>
      </c>
      <c r="E5" s="6" t="s">
        <v>66</v>
      </c>
      <c r="F5" s="1" t="s">
        <v>66</v>
      </c>
      <c r="G5" s="7" t="s">
        <v>66</v>
      </c>
      <c r="H5" s="3" t="s">
        <v>67</v>
      </c>
      <c r="I5" s="4" t="s">
        <v>67</v>
      </c>
      <c r="J5" s="5" t="s">
        <v>67</v>
      </c>
      <c r="K5" s="6" t="s">
        <v>68</v>
      </c>
      <c r="L5" s="1" t="s">
        <v>68</v>
      </c>
      <c r="M5" s="7" t="s">
        <v>68</v>
      </c>
      <c r="N5" s="3" t="s">
        <v>69</v>
      </c>
      <c r="O5" s="4" t="s">
        <v>69</v>
      </c>
      <c r="P5" s="5" t="s">
        <v>69</v>
      </c>
      <c r="Q5" s="6" t="s">
        <v>70</v>
      </c>
      <c r="R5" s="1" t="s">
        <v>70</v>
      </c>
      <c r="S5" s="7" t="s">
        <v>70</v>
      </c>
      <c r="T5" s="3" t="s">
        <v>67</v>
      </c>
      <c r="U5" s="4" t="s">
        <v>68</v>
      </c>
      <c r="V5" s="5" t="s">
        <v>69</v>
      </c>
      <c r="W5" s="6" t="s">
        <v>68</v>
      </c>
      <c r="X5" s="1" t="s">
        <v>69</v>
      </c>
      <c r="Y5" s="7" t="s">
        <v>70</v>
      </c>
      <c r="Z5" s="3" t="s">
        <v>66</v>
      </c>
      <c r="AA5" s="4" t="s">
        <v>66</v>
      </c>
      <c r="AB5" s="5" t="s">
        <v>66</v>
      </c>
      <c r="AC5" s="6" t="s">
        <v>71</v>
      </c>
      <c r="AD5" s="1" t="s">
        <v>71</v>
      </c>
      <c r="AE5" s="7" t="s">
        <v>71</v>
      </c>
      <c r="AF5" s="3" t="s">
        <v>72</v>
      </c>
      <c r="AG5" s="4" t="s">
        <v>72</v>
      </c>
      <c r="AH5" s="5" t="s">
        <v>72</v>
      </c>
      <c r="AI5" s="6" t="s">
        <v>73</v>
      </c>
      <c r="AJ5" s="1" t="s">
        <v>73</v>
      </c>
      <c r="AK5" s="7" t="s">
        <v>73</v>
      </c>
      <c r="AL5" s="3" t="s">
        <v>74</v>
      </c>
      <c r="AM5" s="5" t="s">
        <v>74</v>
      </c>
      <c r="AN5" s="6" t="s">
        <v>73</v>
      </c>
      <c r="AO5" s="7" t="s">
        <v>73</v>
      </c>
      <c r="AP5" s="3" t="s">
        <v>71</v>
      </c>
      <c r="AQ5" s="4" t="s">
        <v>71</v>
      </c>
      <c r="AR5" s="5" t="s">
        <v>71</v>
      </c>
      <c r="AS5" s="6" t="s">
        <v>70</v>
      </c>
      <c r="AT5" s="1" t="s">
        <v>70</v>
      </c>
      <c r="AU5" s="7" t="s">
        <v>70</v>
      </c>
      <c r="AV5" s="3" t="s">
        <v>69</v>
      </c>
      <c r="AW5" s="4" t="s">
        <v>69</v>
      </c>
      <c r="AX5" s="5" t="s">
        <v>69</v>
      </c>
      <c r="AY5" s="6" t="s">
        <v>68</v>
      </c>
      <c r="AZ5" s="1" t="s">
        <v>68</v>
      </c>
      <c r="BA5" s="7" t="s">
        <v>68</v>
      </c>
      <c r="BB5" s="3" t="s">
        <v>74</v>
      </c>
      <c r="BC5" s="4" t="s">
        <v>74</v>
      </c>
      <c r="BD5" s="5" t="s">
        <v>74</v>
      </c>
      <c r="BE5" s="6" t="s">
        <v>66</v>
      </c>
      <c r="BF5" s="1" t="s">
        <v>66</v>
      </c>
      <c r="BG5" s="7" t="s">
        <v>66</v>
      </c>
    </row>
    <row r="6" spans="1:59" hidden="1">
      <c r="A6" s="30" t="s">
        <v>75</v>
      </c>
      <c r="B6" s="3" t="s">
        <v>76</v>
      </c>
      <c r="C6" s="4" t="s">
        <v>76</v>
      </c>
      <c r="D6" s="5" t="s">
        <v>76</v>
      </c>
      <c r="E6" s="6" t="s">
        <v>77</v>
      </c>
      <c r="F6" s="1" t="s">
        <v>77</v>
      </c>
      <c r="G6" s="7" t="s">
        <v>77</v>
      </c>
      <c r="H6" s="3" t="s">
        <v>78</v>
      </c>
      <c r="I6" s="4" t="s">
        <v>78</v>
      </c>
      <c r="J6" s="5" t="s">
        <v>78</v>
      </c>
      <c r="K6" s="6" t="s">
        <v>79</v>
      </c>
      <c r="L6" s="1" t="s">
        <v>79</v>
      </c>
      <c r="M6" s="7" t="s">
        <v>79</v>
      </c>
      <c r="N6" s="3" t="s">
        <v>80</v>
      </c>
      <c r="O6" s="4" t="s">
        <v>80</v>
      </c>
      <c r="P6" s="5" t="s">
        <v>80</v>
      </c>
      <c r="Q6" s="6" t="s">
        <v>81</v>
      </c>
      <c r="R6" s="1" t="s">
        <v>81</v>
      </c>
      <c r="S6" s="7" t="s">
        <v>81</v>
      </c>
      <c r="T6" s="3" t="s">
        <v>78</v>
      </c>
      <c r="U6" s="4" t="s">
        <v>79</v>
      </c>
      <c r="V6" s="5" t="s">
        <v>80</v>
      </c>
      <c r="W6" s="6" t="s">
        <v>79</v>
      </c>
      <c r="X6" s="1" t="s">
        <v>80</v>
      </c>
      <c r="Y6" s="7" t="s">
        <v>81</v>
      </c>
      <c r="Z6" s="3" t="s">
        <v>77</v>
      </c>
      <c r="AA6" s="4" t="s">
        <v>77</v>
      </c>
      <c r="AB6" s="5" t="s">
        <v>77</v>
      </c>
      <c r="AC6" s="6" t="s">
        <v>82</v>
      </c>
      <c r="AD6" s="1" t="s">
        <v>82</v>
      </c>
      <c r="AE6" s="7" t="s">
        <v>82</v>
      </c>
      <c r="AF6" s="3" t="s">
        <v>83</v>
      </c>
      <c r="AG6" s="4" t="s">
        <v>83</v>
      </c>
      <c r="AH6" s="5" t="s">
        <v>83</v>
      </c>
      <c r="AI6" s="6" t="s">
        <v>84</v>
      </c>
      <c r="AJ6" s="1" t="s">
        <v>84</v>
      </c>
      <c r="AK6" s="7" t="s">
        <v>84</v>
      </c>
      <c r="AL6" s="3" t="s">
        <v>85</v>
      </c>
      <c r="AM6" s="5" t="s">
        <v>85</v>
      </c>
      <c r="AN6" s="6" t="s">
        <v>84</v>
      </c>
      <c r="AO6" s="7" t="s">
        <v>84</v>
      </c>
      <c r="AP6" s="3" t="s">
        <v>82</v>
      </c>
      <c r="AQ6" s="4" t="s">
        <v>82</v>
      </c>
      <c r="AR6" s="5" t="s">
        <v>82</v>
      </c>
      <c r="AS6" s="6" t="s">
        <v>81</v>
      </c>
      <c r="AT6" s="1" t="s">
        <v>81</v>
      </c>
      <c r="AU6" s="7" t="s">
        <v>81</v>
      </c>
      <c r="AV6" s="3" t="s">
        <v>80</v>
      </c>
      <c r="AW6" s="4" t="s">
        <v>80</v>
      </c>
      <c r="AX6" s="5" t="s">
        <v>80</v>
      </c>
      <c r="AY6" s="6" t="s">
        <v>79</v>
      </c>
      <c r="AZ6" s="1" t="s">
        <v>79</v>
      </c>
      <c r="BA6" s="7" t="s">
        <v>79</v>
      </c>
      <c r="BB6" s="3" t="s">
        <v>85</v>
      </c>
      <c r="BC6" s="4" t="s">
        <v>85</v>
      </c>
      <c r="BD6" s="5" t="s">
        <v>85</v>
      </c>
      <c r="BE6" s="6" t="s">
        <v>77</v>
      </c>
      <c r="BF6" s="1" t="s">
        <v>77</v>
      </c>
      <c r="BG6" s="7" t="s">
        <v>77</v>
      </c>
    </row>
    <row r="7" spans="1:59" hidden="1">
      <c r="A7" s="30" t="s">
        <v>86</v>
      </c>
      <c r="B7" s="3" t="s">
        <v>87</v>
      </c>
      <c r="C7" s="4" t="s">
        <v>87</v>
      </c>
      <c r="D7" s="5" t="s">
        <v>87</v>
      </c>
      <c r="E7" s="6" t="s">
        <v>88</v>
      </c>
      <c r="F7" s="1" t="s">
        <v>88</v>
      </c>
      <c r="G7" s="7" t="s">
        <v>88</v>
      </c>
      <c r="H7" s="3" t="s">
        <v>89</v>
      </c>
      <c r="I7" s="4" t="s">
        <v>89</v>
      </c>
      <c r="J7" s="5" t="s">
        <v>89</v>
      </c>
      <c r="K7" s="6" t="s">
        <v>90</v>
      </c>
      <c r="L7" s="1" t="s">
        <v>90</v>
      </c>
      <c r="M7" s="7" t="s">
        <v>90</v>
      </c>
      <c r="N7" s="3" t="s">
        <v>91</v>
      </c>
      <c r="O7" s="4" t="s">
        <v>91</v>
      </c>
      <c r="P7" s="5" t="s">
        <v>91</v>
      </c>
      <c r="Q7" s="6" t="s">
        <v>92</v>
      </c>
      <c r="R7" s="1" t="s">
        <v>92</v>
      </c>
      <c r="S7" s="7" t="s">
        <v>92</v>
      </c>
      <c r="T7" s="3" t="s">
        <v>89</v>
      </c>
      <c r="U7" s="4" t="s">
        <v>90</v>
      </c>
      <c r="V7" s="5" t="s">
        <v>91</v>
      </c>
      <c r="W7" s="6" t="s">
        <v>90</v>
      </c>
      <c r="X7" s="1" t="s">
        <v>91</v>
      </c>
      <c r="Y7" s="7" t="s">
        <v>92</v>
      </c>
      <c r="Z7" s="3" t="s">
        <v>88</v>
      </c>
      <c r="AA7" s="4" t="s">
        <v>88</v>
      </c>
      <c r="AB7" s="5" t="s">
        <v>88</v>
      </c>
      <c r="AC7" s="6" t="s">
        <v>93</v>
      </c>
      <c r="AD7" s="1" t="s">
        <v>93</v>
      </c>
      <c r="AE7" s="7" t="s">
        <v>93</v>
      </c>
      <c r="AF7" s="3" t="s">
        <v>94</v>
      </c>
      <c r="AG7" s="4" t="s">
        <v>94</v>
      </c>
      <c r="AH7" s="5" t="s">
        <v>94</v>
      </c>
      <c r="AI7" s="6" t="s">
        <v>95</v>
      </c>
      <c r="AJ7" s="1" t="s">
        <v>95</v>
      </c>
      <c r="AK7" s="7" t="s">
        <v>95</v>
      </c>
      <c r="AL7" s="3" t="s">
        <v>96</v>
      </c>
      <c r="AM7" s="5" t="s">
        <v>96</v>
      </c>
      <c r="AN7" s="6" t="s">
        <v>95</v>
      </c>
      <c r="AO7" s="7" t="s">
        <v>95</v>
      </c>
      <c r="AP7" s="3" t="s">
        <v>93</v>
      </c>
      <c r="AQ7" s="4" t="s">
        <v>93</v>
      </c>
      <c r="AR7" s="5" t="s">
        <v>93</v>
      </c>
      <c r="AS7" s="6" t="s">
        <v>92</v>
      </c>
      <c r="AT7" s="1" t="s">
        <v>92</v>
      </c>
      <c r="AU7" s="7" t="s">
        <v>92</v>
      </c>
      <c r="AV7" s="3" t="s">
        <v>91</v>
      </c>
      <c r="AW7" s="4" t="s">
        <v>91</v>
      </c>
      <c r="AX7" s="5" t="s">
        <v>91</v>
      </c>
      <c r="AY7" s="6" t="s">
        <v>90</v>
      </c>
      <c r="AZ7" s="1" t="s">
        <v>90</v>
      </c>
      <c r="BA7" s="7" t="s">
        <v>90</v>
      </c>
      <c r="BB7" s="3" t="s">
        <v>96</v>
      </c>
      <c r="BC7" s="4" t="s">
        <v>96</v>
      </c>
      <c r="BD7" s="5" t="s">
        <v>96</v>
      </c>
      <c r="BE7" s="6" t="s">
        <v>88</v>
      </c>
      <c r="BF7" s="1" t="s">
        <v>88</v>
      </c>
      <c r="BG7" s="7" t="s">
        <v>88</v>
      </c>
    </row>
    <row r="8" spans="1:59" hidden="1">
      <c r="A8" s="30" t="s">
        <v>97</v>
      </c>
      <c r="B8" s="3" t="s">
        <v>98</v>
      </c>
      <c r="C8" s="4" t="s">
        <v>98</v>
      </c>
      <c r="D8" s="5" t="s">
        <v>98</v>
      </c>
      <c r="E8" s="6" t="s">
        <v>99</v>
      </c>
      <c r="F8" s="1" t="s">
        <v>99</v>
      </c>
      <c r="G8" s="7" t="s">
        <v>99</v>
      </c>
      <c r="H8" s="3" t="s">
        <v>100</v>
      </c>
      <c r="I8" s="4" t="s">
        <v>100</v>
      </c>
      <c r="J8" s="5" t="s">
        <v>100</v>
      </c>
      <c r="K8" s="6" t="s">
        <v>101</v>
      </c>
      <c r="L8" s="1" t="s">
        <v>101</v>
      </c>
      <c r="M8" s="7" t="s">
        <v>101</v>
      </c>
      <c r="N8" s="3" t="s">
        <v>102</v>
      </c>
      <c r="O8" s="4" t="s">
        <v>102</v>
      </c>
      <c r="P8" s="5" t="s">
        <v>102</v>
      </c>
      <c r="Q8" s="6" t="s">
        <v>103</v>
      </c>
      <c r="R8" s="1" t="s">
        <v>103</v>
      </c>
      <c r="S8" s="7" t="s">
        <v>103</v>
      </c>
      <c r="T8" s="3" t="s">
        <v>100</v>
      </c>
      <c r="U8" s="4" t="s">
        <v>101</v>
      </c>
      <c r="V8" s="5" t="s">
        <v>102</v>
      </c>
      <c r="W8" s="6" t="s">
        <v>101</v>
      </c>
      <c r="X8" s="1" t="s">
        <v>102</v>
      </c>
      <c r="Y8" s="7" t="s">
        <v>103</v>
      </c>
      <c r="Z8" s="3" t="s">
        <v>99</v>
      </c>
      <c r="AA8" s="4" t="s">
        <v>99</v>
      </c>
      <c r="AB8" s="5" t="s">
        <v>99</v>
      </c>
      <c r="AC8" s="6" t="s">
        <v>104</v>
      </c>
      <c r="AD8" s="1" t="s">
        <v>104</v>
      </c>
      <c r="AE8" s="7" t="s">
        <v>104</v>
      </c>
      <c r="AF8" s="3" t="s">
        <v>105</v>
      </c>
      <c r="AG8" s="4" t="s">
        <v>105</v>
      </c>
      <c r="AH8" s="5" t="s">
        <v>105</v>
      </c>
      <c r="AI8" s="6" t="s">
        <v>106</v>
      </c>
      <c r="AJ8" s="1" t="s">
        <v>106</v>
      </c>
      <c r="AK8" s="7" t="s">
        <v>106</v>
      </c>
      <c r="AL8" s="3" t="s">
        <v>107</v>
      </c>
      <c r="AM8" s="5" t="s">
        <v>107</v>
      </c>
      <c r="AN8" s="6" t="s">
        <v>106</v>
      </c>
      <c r="AO8" s="7" t="s">
        <v>106</v>
      </c>
      <c r="AP8" s="3" t="s">
        <v>104</v>
      </c>
      <c r="AQ8" s="4" t="s">
        <v>104</v>
      </c>
      <c r="AR8" s="5" t="s">
        <v>104</v>
      </c>
      <c r="AS8" s="6" t="s">
        <v>103</v>
      </c>
      <c r="AT8" s="1" t="s">
        <v>103</v>
      </c>
      <c r="AU8" s="7" t="s">
        <v>103</v>
      </c>
      <c r="AV8" s="3" t="s">
        <v>102</v>
      </c>
      <c r="AW8" s="4" t="s">
        <v>102</v>
      </c>
      <c r="AX8" s="5" t="s">
        <v>102</v>
      </c>
      <c r="AY8" s="6" t="s">
        <v>101</v>
      </c>
      <c r="AZ8" s="1" t="s">
        <v>101</v>
      </c>
      <c r="BA8" s="7" t="s">
        <v>101</v>
      </c>
      <c r="BB8" s="3" t="s">
        <v>107</v>
      </c>
      <c r="BC8" s="4" t="s">
        <v>107</v>
      </c>
      <c r="BD8" s="5" t="s">
        <v>107</v>
      </c>
      <c r="BE8" s="6" t="s">
        <v>99</v>
      </c>
      <c r="BF8" s="1" t="s">
        <v>99</v>
      </c>
      <c r="BG8" s="7" t="s">
        <v>99</v>
      </c>
    </row>
    <row r="9" spans="1:59">
      <c r="A9" s="30" t="s">
        <v>108</v>
      </c>
      <c r="B9" s="3" t="s">
        <v>109</v>
      </c>
      <c r="C9" s="4" t="s">
        <v>109</v>
      </c>
      <c r="D9" s="5" t="s">
        <v>109</v>
      </c>
      <c r="E9" s="6" t="s">
        <v>110</v>
      </c>
      <c r="F9" s="1" t="s">
        <v>110</v>
      </c>
      <c r="G9" s="7" t="s">
        <v>110</v>
      </c>
      <c r="H9" s="3" t="s">
        <v>111</v>
      </c>
      <c r="I9" s="4" t="s">
        <v>111</v>
      </c>
      <c r="J9" s="5" t="s">
        <v>111</v>
      </c>
      <c r="K9" s="6" t="s">
        <v>112</v>
      </c>
      <c r="L9" s="1" t="s">
        <v>112</v>
      </c>
      <c r="M9" s="7" t="s">
        <v>112</v>
      </c>
      <c r="N9" s="3" t="s">
        <v>113</v>
      </c>
      <c r="O9" s="4" t="s">
        <v>113</v>
      </c>
      <c r="P9" s="5" t="s">
        <v>113</v>
      </c>
      <c r="Q9" s="6" t="s">
        <v>114</v>
      </c>
      <c r="R9" s="1" t="s">
        <v>114</v>
      </c>
      <c r="S9" s="7" t="s">
        <v>114</v>
      </c>
      <c r="T9" s="3" t="s">
        <v>115</v>
      </c>
      <c r="U9" s="4" t="s">
        <v>115</v>
      </c>
      <c r="V9" s="5" t="s">
        <v>115</v>
      </c>
      <c r="W9" s="6" t="s">
        <v>116</v>
      </c>
      <c r="X9" s="1" t="s">
        <v>116</v>
      </c>
      <c r="Y9" s="7" t="s">
        <v>116</v>
      </c>
      <c r="Z9" s="3" t="s">
        <v>117</v>
      </c>
      <c r="AA9" s="4" t="s">
        <v>117</v>
      </c>
      <c r="AB9" s="5" t="s">
        <v>117</v>
      </c>
      <c r="AC9" s="6" t="s">
        <v>118</v>
      </c>
      <c r="AD9" s="1" t="s">
        <v>118</v>
      </c>
      <c r="AE9" s="7" t="s">
        <v>118</v>
      </c>
      <c r="AF9" s="3" t="s">
        <v>119</v>
      </c>
      <c r="AG9" s="4" t="s">
        <v>119</v>
      </c>
      <c r="AH9" s="5" t="s">
        <v>119</v>
      </c>
      <c r="AI9" s="6" t="s">
        <v>120</v>
      </c>
      <c r="AJ9" s="1" t="s">
        <v>120</v>
      </c>
      <c r="AK9" s="7" t="s">
        <v>120</v>
      </c>
      <c r="AL9" s="3" t="s">
        <v>121</v>
      </c>
      <c r="AM9" s="5" t="s">
        <v>121</v>
      </c>
      <c r="AN9" s="6" t="s">
        <v>122</v>
      </c>
      <c r="AO9" s="7" t="s">
        <v>122</v>
      </c>
      <c r="AP9" s="3" t="s">
        <v>123</v>
      </c>
      <c r="AQ9" s="4" t="s">
        <v>123</v>
      </c>
      <c r="AR9" s="5" t="s">
        <v>123</v>
      </c>
      <c r="AS9" s="6" t="s">
        <v>124</v>
      </c>
      <c r="AT9" s="1" t="s">
        <v>124</v>
      </c>
      <c r="AU9" s="7" t="s">
        <v>124</v>
      </c>
      <c r="AV9" s="3" t="s">
        <v>125</v>
      </c>
      <c r="AW9" s="4" t="s">
        <v>125</v>
      </c>
      <c r="AX9" s="5" t="s">
        <v>125</v>
      </c>
      <c r="AY9" s="6" t="s">
        <v>126</v>
      </c>
      <c r="AZ9" s="1" t="s">
        <v>126</v>
      </c>
      <c r="BA9" s="7" t="s">
        <v>126</v>
      </c>
      <c r="BB9" s="3" t="s">
        <v>127</v>
      </c>
      <c r="BC9" s="4" t="s">
        <v>127</v>
      </c>
      <c r="BD9" s="5" t="s">
        <v>127</v>
      </c>
      <c r="BE9" s="6" t="s">
        <v>128</v>
      </c>
      <c r="BF9" s="1" t="s">
        <v>128</v>
      </c>
      <c r="BG9" s="7" t="s">
        <v>128</v>
      </c>
    </row>
    <row r="10" spans="1:59">
      <c r="A10" s="30" t="s">
        <v>129</v>
      </c>
      <c r="B10" s="3" t="s">
        <v>130</v>
      </c>
      <c r="C10" s="4" t="s">
        <v>130</v>
      </c>
      <c r="D10" s="5" t="s">
        <v>130</v>
      </c>
      <c r="E10" s="6" t="s">
        <v>131</v>
      </c>
      <c r="F10" s="1" t="s">
        <v>131</v>
      </c>
      <c r="G10" s="7" t="s">
        <v>131</v>
      </c>
      <c r="H10" s="3" t="s">
        <v>132</v>
      </c>
      <c r="I10" s="4" t="s">
        <v>132</v>
      </c>
      <c r="J10" s="5" t="s">
        <v>132</v>
      </c>
      <c r="K10" s="6" t="s">
        <v>133</v>
      </c>
      <c r="L10" s="1" t="s">
        <v>133</v>
      </c>
      <c r="M10" s="7" t="s">
        <v>133</v>
      </c>
      <c r="N10" s="3" t="s">
        <v>134</v>
      </c>
      <c r="O10" s="4" t="s">
        <v>134</v>
      </c>
      <c r="P10" s="5" t="s">
        <v>134</v>
      </c>
      <c r="Q10" s="6" t="s">
        <v>135</v>
      </c>
      <c r="R10" s="1" t="s">
        <v>135</v>
      </c>
      <c r="S10" s="7" t="s">
        <v>135</v>
      </c>
      <c r="T10" s="3" t="s">
        <v>136</v>
      </c>
      <c r="U10" s="4" t="s">
        <v>136</v>
      </c>
      <c r="V10" s="5" t="s">
        <v>136</v>
      </c>
      <c r="W10" s="6" t="s">
        <v>137</v>
      </c>
      <c r="X10" s="1" t="s">
        <v>137</v>
      </c>
      <c r="Y10" s="7" t="s">
        <v>137</v>
      </c>
      <c r="Z10" s="3" t="s">
        <v>138</v>
      </c>
      <c r="AA10" s="4" t="s">
        <v>138</v>
      </c>
      <c r="AB10" s="5" t="s">
        <v>138</v>
      </c>
      <c r="AC10" s="6" t="s">
        <v>139</v>
      </c>
      <c r="AD10" s="1" t="s">
        <v>139</v>
      </c>
      <c r="AE10" s="7" t="s">
        <v>139</v>
      </c>
      <c r="AF10" s="3" t="s">
        <v>140</v>
      </c>
      <c r="AG10" s="4" t="s">
        <v>140</v>
      </c>
      <c r="AH10" s="5" t="s">
        <v>140</v>
      </c>
      <c r="AI10" s="6" t="s">
        <v>141</v>
      </c>
      <c r="AJ10" s="1" t="s">
        <v>141</v>
      </c>
      <c r="AK10" s="7" t="s">
        <v>141</v>
      </c>
      <c r="AL10" s="3" t="s">
        <v>142</v>
      </c>
      <c r="AM10" s="5" t="s">
        <v>142</v>
      </c>
      <c r="AN10" s="6" t="s">
        <v>143</v>
      </c>
      <c r="AO10" s="7" t="s">
        <v>143</v>
      </c>
      <c r="AP10" s="3" t="s">
        <v>144</v>
      </c>
      <c r="AQ10" s="4" t="s">
        <v>144</v>
      </c>
      <c r="AR10" s="5" t="s">
        <v>144</v>
      </c>
      <c r="AS10" s="6" t="s">
        <v>145</v>
      </c>
      <c r="AT10" s="1" t="s">
        <v>145</v>
      </c>
      <c r="AU10" s="7" t="s">
        <v>145</v>
      </c>
      <c r="AV10" s="3" t="s">
        <v>146</v>
      </c>
      <c r="AW10" s="4" t="s">
        <v>146</v>
      </c>
      <c r="AX10" s="5" t="s">
        <v>146</v>
      </c>
      <c r="AY10" s="6" t="s">
        <v>147</v>
      </c>
      <c r="AZ10" s="1" t="s">
        <v>147</v>
      </c>
      <c r="BA10" s="7" t="s">
        <v>147</v>
      </c>
      <c r="BB10" s="3" t="s">
        <v>148</v>
      </c>
      <c r="BC10" s="4" t="s">
        <v>148</v>
      </c>
      <c r="BD10" s="5" t="s">
        <v>148</v>
      </c>
      <c r="BE10" s="6" t="s">
        <v>149</v>
      </c>
      <c r="BF10" s="1" t="s">
        <v>149</v>
      </c>
      <c r="BG10" s="7" t="s">
        <v>149</v>
      </c>
    </row>
    <row r="11" spans="1:59">
      <c r="A11" s="30" t="s">
        <v>150</v>
      </c>
      <c r="B11" s="3" t="s">
        <v>151</v>
      </c>
      <c r="C11" s="4" t="s">
        <v>152</v>
      </c>
      <c r="D11" s="5" t="s">
        <v>153</v>
      </c>
      <c r="E11" s="6" t="s">
        <v>151</v>
      </c>
      <c r="F11" s="1" t="s">
        <v>152</v>
      </c>
      <c r="G11" s="7" t="s">
        <v>153</v>
      </c>
      <c r="H11" s="3" t="s">
        <v>151</v>
      </c>
      <c r="I11" s="4" t="s">
        <v>152</v>
      </c>
      <c r="J11" s="5" t="s">
        <v>153</v>
      </c>
      <c r="K11" s="6" t="s">
        <v>151</v>
      </c>
      <c r="L11" s="1" t="s">
        <v>152</v>
      </c>
      <c r="M11" s="7" t="s">
        <v>153</v>
      </c>
      <c r="N11" s="3" t="s">
        <v>151</v>
      </c>
      <c r="O11" s="4" t="s">
        <v>152</v>
      </c>
      <c r="P11" s="5" t="s">
        <v>153</v>
      </c>
      <c r="Q11" s="6" t="s">
        <v>151</v>
      </c>
      <c r="R11" s="1" t="s">
        <v>152</v>
      </c>
      <c r="S11" s="7" t="s">
        <v>153</v>
      </c>
      <c r="T11" s="20" t="s">
        <v>153</v>
      </c>
      <c r="U11" s="4" t="s">
        <v>152</v>
      </c>
      <c r="V11" s="21" t="s">
        <v>151</v>
      </c>
      <c r="W11" s="6" t="s">
        <v>151</v>
      </c>
      <c r="X11" s="1" t="s">
        <v>152</v>
      </c>
      <c r="Y11" s="7" t="s">
        <v>153</v>
      </c>
      <c r="Z11" s="3" t="s">
        <v>151</v>
      </c>
      <c r="AA11" s="4" t="s">
        <v>152</v>
      </c>
      <c r="AB11" s="5" t="s">
        <v>153</v>
      </c>
      <c r="AC11" s="6" t="s">
        <v>151</v>
      </c>
      <c r="AD11" s="1" t="s">
        <v>152</v>
      </c>
      <c r="AE11" s="7" t="s">
        <v>153</v>
      </c>
      <c r="AF11" s="3" t="s">
        <v>151</v>
      </c>
      <c r="AG11" s="4" t="s">
        <v>152</v>
      </c>
      <c r="AH11" s="5" t="s">
        <v>153</v>
      </c>
      <c r="AI11" s="6" t="s">
        <v>151</v>
      </c>
      <c r="AJ11" s="1" t="s">
        <v>152</v>
      </c>
      <c r="AK11" s="7" t="s">
        <v>153</v>
      </c>
      <c r="AL11" s="3" t="s">
        <v>151</v>
      </c>
      <c r="AM11" s="5" t="s">
        <v>152</v>
      </c>
      <c r="AN11" s="6" t="s">
        <v>151</v>
      </c>
      <c r="AO11" s="7" t="s">
        <v>152</v>
      </c>
      <c r="AP11" s="3" t="s">
        <v>151</v>
      </c>
      <c r="AQ11" s="4" t="s">
        <v>152</v>
      </c>
      <c r="AR11" s="5" t="s">
        <v>153</v>
      </c>
      <c r="AS11" s="6" t="s">
        <v>151</v>
      </c>
      <c r="AT11" s="1" t="s">
        <v>152</v>
      </c>
      <c r="AU11" s="7" t="s">
        <v>153</v>
      </c>
      <c r="AV11" s="3" t="s">
        <v>151</v>
      </c>
      <c r="AW11" s="4" t="s">
        <v>152</v>
      </c>
      <c r="AX11" s="5" t="s">
        <v>153</v>
      </c>
      <c r="AY11" s="6" t="s">
        <v>151</v>
      </c>
      <c r="AZ11" s="1" t="s">
        <v>152</v>
      </c>
      <c r="BA11" s="7" t="s">
        <v>153</v>
      </c>
      <c r="BB11" s="3" t="s">
        <v>151</v>
      </c>
      <c r="BC11" s="4" t="s">
        <v>152</v>
      </c>
      <c r="BD11" s="5" t="s">
        <v>153</v>
      </c>
      <c r="BE11" s="6" t="s">
        <v>151</v>
      </c>
      <c r="BF11" s="1" t="s">
        <v>152</v>
      </c>
      <c r="BG11" s="7" t="s">
        <v>153</v>
      </c>
    </row>
    <row r="12" spans="1:59">
      <c r="A12" s="30" t="s">
        <v>154</v>
      </c>
      <c r="B12" s="3" t="s">
        <v>155</v>
      </c>
      <c r="C12" s="4" t="s">
        <v>155</v>
      </c>
      <c r="D12" s="5" t="s">
        <v>155</v>
      </c>
      <c r="E12" s="6" t="s">
        <v>155</v>
      </c>
      <c r="F12" s="1" t="s">
        <v>155</v>
      </c>
      <c r="G12" s="7" t="s">
        <v>155</v>
      </c>
      <c r="H12" s="3" t="s">
        <v>155</v>
      </c>
      <c r="I12" s="4" t="s">
        <v>155</v>
      </c>
      <c r="J12" s="5" t="s">
        <v>155</v>
      </c>
      <c r="K12" s="6" t="s">
        <v>155</v>
      </c>
      <c r="L12" s="1" t="s">
        <v>155</v>
      </c>
      <c r="M12" s="7" t="s">
        <v>155</v>
      </c>
      <c r="N12" s="3" t="s">
        <v>155</v>
      </c>
      <c r="O12" s="4" t="s">
        <v>155</v>
      </c>
      <c r="P12" s="5" t="s">
        <v>155</v>
      </c>
      <c r="Q12" s="6" t="s">
        <v>155</v>
      </c>
      <c r="R12" s="1" t="s">
        <v>155</v>
      </c>
      <c r="S12" s="7" t="s">
        <v>155</v>
      </c>
      <c r="T12" s="3" t="s">
        <v>155</v>
      </c>
      <c r="U12" s="4" t="s">
        <v>155</v>
      </c>
      <c r="V12" s="5" t="s">
        <v>155</v>
      </c>
      <c r="W12" s="6" t="s">
        <v>155</v>
      </c>
      <c r="X12" s="1" t="s">
        <v>155</v>
      </c>
      <c r="Y12" s="7" t="s">
        <v>155</v>
      </c>
      <c r="Z12" s="3" t="s">
        <v>155</v>
      </c>
      <c r="AA12" s="4" t="s">
        <v>155</v>
      </c>
      <c r="AB12" s="5" t="s">
        <v>156</v>
      </c>
      <c r="AC12" s="6" t="s">
        <v>155</v>
      </c>
      <c r="AD12" s="1" t="s">
        <v>155</v>
      </c>
      <c r="AE12" s="7" t="s">
        <v>156</v>
      </c>
      <c r="AF12" s="3" t="s">
        <v>155</v>
      </c>
      <c r="AG12" s="4" t="s">
        <v>155</v>
      </c>
      <c r="AH12" s="5" t="s">
        <v>156</v>
      </c>
      <c r="AI12" s="6" t="s">
        <v>155</v>
      </c>
      <c r="AJ12" s="1" t="s">
        <v>155</v>
      </c>
      <c r="AK12" s="7" t="s">
        <v>156</v>
      </c>
      <c r="AL12" s="3" t="s">
        <v>155</v>
      </c>
      <c r="AM12" s="5" t="s">
        <v>155</v>
      </c>
      <c r="AN12" s="6" t="s">
        <v>155</v>
      </c>
      <c r="AO12" s="7" t="s">
        <v>155</v>
      </c>
      <c r="AP12" s="3" t="s">
        <v>155</v>
      </c>
      <c r="AQ12" s="4" t="s">
        <v>156</v>
      </c>
      <c r="AR12" s="5" t="s">
        <v>156</v>
      </c>
      <c r="AS12" s="6" t="s">
        <v>155</v>
      </c>
      <c r="AT12" s="1" t="s">
        <v>156</v>
      </c>
      <c r="AU12" s="7" t="s">
        <v>156</v>
      </c>
      <c r="AV12" s="3" t="s">
        <v>155</v>
      </c>
      <c r="AW12" s="4" t="s">
        <v>156</v>
      </c>
      <c r="AX12" s="5" t="s">
        <v>156</v>
      </c>
      <c r="AY12" s="6" t="s">
        <v>155</v>
      </c>
      <c r="AZ12" s="1" t="s">
        <v>156</v>
      </c>
      <c r="BA12" s="7" t="s">
        <v>156</v>
      </c>
      <c r="BB12" s="3" t="s">
        <v>156</v>
      </c>
      <c r="BC12" s="4" t="s">
        <v>156</v>
      </c>
      <c r="BD12" s="5" t="s">
        <v>156</v>
      </c>
      <c r="BE12" s="6" t="s">
        <v>156</v>
      </c>
      <c r="BF12" s="1" t="s">
        <v>156</v>
      </c>
      <c r="BG12" s="7" t="s">
        <v>156</v>
      </c>
    </row>
    <row r="13" spans="1:59">
      <c r="A13" s="30" t="s">
        <v>157</v>
      </c>
      <c r="B13" s="3" t="s">
        <v>158</v>
      </c>
      <c r="C13" s="4" t="s">
        <v>158</v>
      </c>
      <c r="D13" s="5" t="s">
        <v>158</v>
      </c>
      <c r="E13" s="6" t="s">
        <v>158</v>
      </c>
      <c r="F13" s="1" t="s">
        <v>158</v>
      </c>
      <c r="G13" s="7" t="s">
        <v>158</v>
      </c>
      <c r="H13" s="3" t="s">
        <v>158</v>
      </c>
      <c r="I13" s="4" t="s">
        <v>158</v>
      </c>
      <c r="J13" s="5" t="s">
        <v>158</v>
      </c>
      <c r="K13" s="6" t="s">
        <v>158</v>
      </c>
      <c r="L13" s="1" t="s">
        <v>158</v>
      </c>
      <c r="M13" s="7" t="s">
        <v>158</v>
      </c>
      <c r="N13" s="3" t="s">
        <v>158</v>
      </c>
      <c r="O13" s="4" t="s">
        <v>158</v>
      </c>
      <c r="P13" s="5" t="s">
        <v>158</v>
      </c>
      <c r="Q13" s="6" t="s">
        <v>158</v>
      </c>
      <c r="R13" s="1" t="s">
        <v>158</v>
      </c>
      <c r="S13" s="7" t="s">
        <v>158</v>
      </c>
      <c r="T13" s="3" t="s">
        <v>158</v>
      </c>
      <c r="U13" s="4" t="s">
        <v>158</v>
      </c>
      <c r="V13" s="5" t="s">
        <v>158</v>
      </c>
      <c r="W13" s="6" t="s">
        <v>158</v>
      </c>
      <c r="X13" s="1" t="s">
        <v>158</v>
      </c>
      <c r="Y13" s="7" t="s">
        <v>158</v>
      </c>
      <c r="Z13" s="3" t="s">
        <v>158</v>
      </c>
      <c r="AA13" s="4" t="s">
        <v>158</v>
      </c>
      <c r="AB13" s="5">
        <v>0</v>
      </c>
      <c r="AC13" s="6" t="s">
        <v>158</v>
      </c>
      <c r="AD13" s="1" t="s">
        <v>158</v>
      </c>
      <c r="AE13" s="7">
        <v>0</v>
      </c>
      <c r="AF13" s="3" t="s">
        <v>158</v>
      </c>
      <c r="AG13" s="4" t="s">
        <v>158</v>
      </c>
      <c r="AH13" s="5">
        <v>0</v>
      </c>
      <c r="AI13" s="6" t="s">
        <v>158</v>
      </c>
      <c r="AJ13" s="1" t="s">
        <v>158</v>
      </c>
      <c r="AK13" s="7">
        <v>0</v>
      </c>
      <c r="AL13" s="3" t="s">
        <v>158</v>
      </c>
      <c r="AM13" s="5" t="s">
        <v>158</v>
      </c>
      <c r="AN13" s="6" t="s">
        <v>158</v>
      </c>
      <c r="AO13" s="7" t="s">
        <v>158</v>
      </c>
      <c r="AP13" s="3" t="s">
        <v>158</v>
      </c>
      <c r="AQ13" s="4">
        <v>0</v>
      </c>
      <c r="AR13" s="5">
        <v>0</v>
      </c>
      <c r="AS13" s="6" t="s">
        <v>158</v>
      </c>
      <c r="AT13" s="1">
        <v>0</v>
      </c>
      <c r="AU13" s="7">
        <v>0</v>
      </c>
      <c r="AV13" s="3" t="s">
        <v>158</v>
      </c>
      <c r="AW13" s="4">
        <v>0</v>
      </c>
      <c r="AX13" s="5">
        <v>0</v>
      </c>
      <c r="AY13" s="6" t="s">
        <v>158</v>
      </c>
      <c r="AZ13" s="1">
        <v>0</v>
      </c>
      <c r="BA13" s="7">
        <v>0</v>
      </c>
      <c r="BB13" s="3">
        <v>0</v>
      </c>
      <c r="BC13" s="4">
        <v>0</v>
      </c>
      <c r="BD13" s="5">
        <v>0</v>
      </c>
      <c r="BE13" s="6">
        <v>0</v>
      </c>
      <c r="BF13" s="1">
        <v>0</v>
      </c>
      <c r="BG13" s="7">
        <v>0</v>
      </c>
    </row>
    <row r="14" spans="1:59">
      <c r="A14" s="30" t="s">
        <v>159</v>
      </c>
      <c r="B14" s="3" t="s">
        <v>160</v>
      </c>
      <c r="C14" s="4" t="s">
        <v>161</v>
      </c>
      <c r="D14" s="5" t="s">
        <v>161</v>
      </c>
      <c r="E14" s="6" t="s">
        <v>161</v>
      </c>
      <c r="F14" s="1" t="s">
        <v>161</v>
      </c>
      <c r="G14" s="7" t="s">
        <v>161</v>
      </c>
      <c r="H14" s="3" t="s">
        <v>161</v>
      </c>
      <c r="I14" s="4" t="s">
        <v>161</v>
      </c>
      <c r="J14" s="5" t="s">
        <v>161</v>
      </c>
      <c r="K14" s="6" t="s">
        <v>161</v>
      </c>
      <c r="L14" s="1" t="s">
        <v>161</v>
      </c>
      <c r="M14" s="7" t="s">
        <v>161</v>
      </c>
      <c r="N14" s="3" t="s">
        <v>161</v>
      </c>
      <c r="O14" s="4" t="s">
        <v>161</v>
      </c>
      <c r="P14" s="5" t="s">
        <v>161</v>
      </c>
      <c r="Q14" s="6" t="s">
        <v>161</v>
      </c>
      <c r="R14" s="1" t="s">
        <v>161</v>
      </c>
      <c r="S14" s="7" t="s">
        <v>161</v>
      </c>
      <c r="T14" s="3" t="s">
        <v>161</v>
      </c>
      <c r="U14" s="4" t="s">
        <v>161</v>
      </c>
      <c r="V14" s="5" t="s">
        <v>161</v>
      </c>
      <c r="W14" s="6" t="s">
        <v>161</v>
      </c>
      <c r="X14" s="1" t="s">
        <v>161</v>
      </c>
      <c r="Y14" s="7" t="s">
        <v>161</v>
      </c>
      <c r="Z14" s="3" t="s">
        <v>161</v>
      </c>
      <c r="AA14" s="4" t="s">
        <v>161</v>
      </c>
      <c r="AB14" s="5" t="s">
        <v>161</v>
      </c>
      <c r="AC14" s="6" t="s">
        <v>161</v>
      </c>
      <c r="AD14" s="1" t="s">
        <v>161</v>
      </c>
      <c r="AE14" s="7" t="s">
        <v>161</v>
      </c>
      <c r="AF14" s="3" t="s">
        <v>161</v>
      </c>
      <c r="AG14" s="4" t="s">
        <v>161</v>
      </c>
      <c r="AH14" s="5" t="s">
        <v>161</v>
      </c>
      <c r="AI14" s="6" t="s">
        <v>161</v>
      </c>
      <c r="AJ14" s="1" t="s">
        <v>161</v>
      </c>
      <c r="AK14" s="7" t="s">
        <v>161</v>
      </c>
      <c r="AL14" s="3" t="s">
        <v>161</v>
      </c>
      <c r="AM14" s="5" t="s">
        <v>161</v>
      </c>
      <c r="AN14" s="6" t="s">
        <v>161</v>
      </c>
      <c r="AO14" s="7" t="s">
        <v>161</v>
      </c>
      <c r="AP14" s="3" t="s">
        <v>161</v>
      </c>
      <c r="AQ14" s="4" t="s">
        <v>161</v>
      </c>
      <c r="AR14" s="5" t="s">
        <v>161</v>
      </c>
      <c r="AS14" s="6" t="s">
        <v>161</v>
      </c>
      <c r="AT14" s="1" t="s">
        <v>161</v>
      </c>
      <c r="AU14" s="7" t="s">
        <v>161</v>
      </c>
      <c r="AV14" s="3" t="s">
        <v>161</v>
      </c>
      <c r="AW14" s="4" t="s">
        <v>161</v>
      </c>
      <c r="AX14" s="5" t="s">
        <v>161</v>
      </c>
      <c r="AY14" s="6" t="s">
        <v>161</v>
      </c>
      <c r="AZ14" s="1" t="s">
        <v>161</v>
      </c>
      <c r="BA14" s="7" t="s">
        <v>161</v>
      </c>
      <c r="BB14" s="3" t="s">
        <v>161</v>
      </c>
      <c r="BC14" s="4" t="s">
        <v>161</v>
      </c>
      <c r="BD14" s="5" t="s">
        <v>161</v>
      </c>
      <c r="BE14" s="6" t="s">
        <v>161</v>
      </c>
      <c r="BF14" s="1" t="s">
        <v>161</v>
      </c>
      <c r="BG14" s="7" t="s">
        <v>161</v>
      </c>
    </row>
    <row r="15" spans="1:59">
      <c r="A15" s="30" t="s">
        <v>206</v>
      </c>
      <c r="B15" s="3"/>
      <c r="C15" s="4"/>
      <c r="D15" s="5"/>
      <c r="E15" s="6"/>
      <c r="F15" s="1"/>
      <c r="G15" s="7"/>
      <c r="H15" s="3"/>
      <c r="I15" s="4"/>
      <c r="J15" s="5"/>
      <c r="K15" s="6"/>
      <c r="L15" s="1"/>
      <c r="M15" s="7"/>
      <c r="N15" s="3"/>
      <c r="O15" s="4"/>
      <c r="P15" s="5"/>
      <c r="Q15" s="6"/>
      <c r="R15" s="1"/>
      <c r="S15" s="7"/>
      <c r="T15" s="3"/>
      <c r="U15" s="4"/>
      <c r="V15" s="5"/>
      <c r="W15" s="6"/>
      <c r="X15" s="1"/>
      <c r="Y15" s="7"/>
      <c r="Z15" s="3"/>
      <c r="AA15" s="4"/>
      <c r="AB15" s="5"/>
      <c r="AC15" s="6"/>
      <c r="AD15" s="1"/>
      <c r="AE15" s="7"/>
      <c r="AF15" s="3"/>
      <c r="AG15" s="4"/>
      <c r="AH15" s="5"/>
      <c r="AI15" s="6"/>
      <c r="AJ15" s="1"/>
      <c r="AK15" s="7"/>
      <c r="AL15" s="3"/>
      <c r="AM15" s="5"/>
      <c r="AN15" s="6"/>
      <c r="AO15" s="7"/>
      <c r="AP15" s="3"/>
      <c r="AQ15" s="4"/>
      <c r="AR15" s="5"/>
      <c r="AS15" s="6"/>
      <c r="AT15" s="1"/>
      <c r="AU15" s="7"/>
      <c r="AV15" s="3"/>
      <c r="AW15" s="4"/>
      <c r="AX15" s="5"/>
      <c r="AY15" s="6"/>
      <c r="AZ15" s="1"/>
      <c r="BA15" s="7"/>
      <c r="BB15" s="3"/>
      <c r="BC15" s="4"/>
      <c r="BD15" s="5"/>
      <c r="BE15" s="6"/>
      <c r="BF15" s="1"/>
      <c r="BG15" s="7"/>
    </row>
    <row r="16" spans="1:59" s="48" customFormat="1" ht="32.1" hidden="1">
      <c r="A16" s="49">
        <v>45945</v>
      </c>
      <c r="B16" s="42"/>
      <c r="C16" s="43"/>
      <c r="D16" s="44"/>
      <c r="E16" s="45"/>
      <c r="F16" s="46"/>
      <c r="G16" s="47"/>
      <c r="H16" s="42"/>
      <c r="I16" s="43"/>
      <c r="J16" s="44"/>
      <c r="K16" s="45"/>
      <c r="L16" s="46"/>
      <c r="M16" s="47"/>
      <c r="N16" s="42"/>
      <c r="O16" s="43"/>
      <c r="P16" s="44"/>
      <c r="Q16" s="45"/>
      <c r="R16" s="46"/>
      <c r="S16" s="47"/>
      <c r="T16" s="42" t="s">
        <v>207</v>
      </c>
      <c r="U16" s="43"/>
      <c r="V16" s="44" t="s">
        <v>208</v>
      </c>
      <c r="W16" s="45"/>
      <c r="X16" s="46"/>
      <c r="Y16" s="47"/>
      <c r="Z16" s="42" t="s">
        <v>209</v>
      </c>
      <c r="AA16" s="43" t="s">
        <v>210</v>
      </c>
      <c r="AB16" s="44" t="s">
        <v>209</v>
      </c>
      <c r="AC16" s="45"/>
      <c r="AD16" s="46"/>
      <c r="AE16" s="47"/>
      <c r="AF16" s="42"/>
      <c r="AG16" s="43"/>
      <c r="AH16" s="44"/>
      <c r="AI16" s="45"/>
      <c r="AJ16" s="46"/>
      <c r="AK16" s="47"/>
      <c r="AL16" s="42"/>
      <c r="AM16" s="44"/>
      <c r="AN16" s="45"/>
      <c r="AO16" s="47"/>
      <c r="AP16" s="42"/>
      <c r="AQ16" s="43"/>
      <c r="AR16" s="44"/>
      <c r="AS16" s="45" t="s">
        <v>211</v>
      </c>
      <c r="AT16" s="46" t="s">
        <v>211</v>
      </c>
      <c r="AU16" s="47" t="s">
        <v>211</v>
      </c>
      <c r="AV16" s="42"/>
      <c r="AW16" s="43"/>
      <c r="AX16" s="44" t="s">
        <v>212</v>
      </c>
      <c r="AY16" s="45"/>
      <c r="AZ16" s="46"/>
      <c r="BA16" s="47" t="s">
        <v>213</v>
      </c>
      <c r="BB16" s="42"/>
      <c r="BC16" s="43"/>
      <c r="BD16" s="44"/>
      <c r="BE16" s="45"/>
      <c r="BF16" s="46"/>
      <c r="BG16" s="47"/>
    </row>
    <row r="17" spans="1:59" s="48" customFormat="1" ht="48" hidden="1">
      <c r="A17" s="49">
        <v>45947</v>
      </c>
      <c r="B17" s="42" t="s">
        <v>214</v>
      </c>
      <c r="C17" s="43" t="s">
        <v>214</v>
      </c>
      <c r="D17" s="44" t="s">
        <v>215</v>
      </c>
      <c r="E17" s="45" t="s">
        <v>216</v>
      </c>
      <c r="F17" s="46" t="s">
        <v>217</v>
      </c>
      <c r="G17" s="47" t="s">
        <v>218</v>
      </c>
      <c r="H17" s="42" t="s">
        <v>219</v>
      </c>
      <c r="I17" s="43" t="s">
        <v>220</v>
      </c>
      <c r="J17" s="44" t="s">
        <v>221</v>
      </c>
      <c r="K17" s="45" t="s">
        <v>222</v>
      </c>
      <c r="L17" s="46" t="s">
        <v>223</v>
      </c>
      <c r="M17" s="47" t="s">
        <v>221</v>
      </c>
      <c r="N17" s="42" t="s">
        <v>224</v>
      </c>
      <c r="O17" s="43" t="s">
        <v>225</v>
      </c>
      <c r="P17" s="44" t="s">
        <v>226</v>
      </c>
      <c r="Q17" s="45" t="s">
        <v>227</v>
      </c>
      <c r="R17" s="46" t="s">
        <v>228</v>
      </c>
      <c r="S17" s="47" t="s">
        <v>229</v>
      </c>
      <c r="T17" s="42" t="s">
        <v>230</v>
      </c>
      <c r="U17" s="43" t="s">
        <v>231</v>
      </c>
      <c r="V17" s="44" t="s">
        <v>232</v>
      </c>
      <c r="W17" s="45" t="s">
        <v>227</v>
      </c>
      <c r="X17" s="46" t="s">
        <v>233</v>
      </c>
      <c r="Y17" s="47" t="s">
        <v>234</v>
      </c>
      <c r="Z17" s="42" t="s">
        <v>234</v>
      </c>
      <c r="AA17" s="43" t="s">
        <v>235</v>
      </c>
      <c r="AB17" s="44" t="s">
        <v>230</v>
      </c>
      <c r="AC17" s="45" t="s">
        <v>236</v>
      </c>
      <c r="AD17" s="46" t="s">
        <v>237</v>
      </c>
      <c r="AE17" s="47" t="s">
        <v>230</v>
      </c>
      <c r="AF17" s="42" t="s">
        <v>238</v>
      </c>
      <c r="AG17" s="43" t="s">
        <v>239</v>
      </c>
      <c r="AH17" s="44" t="s">
        <v>230</v>
      </c>
      <c r="AI17" s="45" t="s">
        <v>240</v>
      </c>
      <c r="AJ17" s="46" t="s">
        <v>241</v>
      </c>
      <c r="AK17" s="47" t="s">
        <v>230</v>
      </c>
      <c r="AL17" s="42" t="s">
        <v>242</v>
      </c>
      <c r="AM17" s="44" t="s">
        <v>243</v>
      </c>
      <c r="AN17" s="45" t="s">
        <v>244</v>
      </c>
      <c r="AO17" s="47" t="s">
        <v>245</v>
      </c>
      <c r="AP17" s="42" t="s">
        <v>246</v>
      </c>
      <c r="AQ17" s="43" t="s">
        <v>230</v>
      </c>
      <c r="AR17" s="44" t="s">
        <v>230</v>
      </c>
      <c r="AS17" s="45" t="s">
        <v>247</v>
      </c>
      <c r="AT17" s="46" t="s">
        <v>230</v>
      </c>
      <c r="AU17" s="47" t="s">
        <v>248</v>
      </c>
      <c r="AV17" s="42" t="s">
        <v>247</v>
      </c>
      <c r="AW17" s="43" t="s">
        <v>230</v>
      </c>
      <c r="AX17" s="44" t="s">
        <v>230</v>
      </c>
      <c r="AY17" s="45" t="s">
        <v>249</v>
      </c>
      <c r="AZ17" s="46" t="s">
        <v>250</v>
      </c>
      <c r="BA17" s="47" t="s">
        <v>230</v>
      </c>
      <c r="BB17" s="42" t="s">
        <v>230</v>
      </c>
      <c r="BC17" s="43" t="s">
        <v>230</v>
      </c>
      <c r="BD17" s="44" t="s">
        <v>230</v>
      </c>
      <c r="BE17" s="45" t="s">
        <v>230</v>
      </c>
      <c r="BF17" s="46" t="s">
        <v>230</v>
      </c>
      <c r="BG17" s="47" t="s">
        <v>230</v>
      </c>
    </row>
    <row r="18" spans="1:59" s="48" customFormat="1" ht="32.1" hidden="1">
      <c r="A18" s="49">
        <v>45950</v>
      </c>
      <c r="B18" s="42" t="s">
        <v>251</v>
      </c>
      <c r="C18" s="43" t="s">
        <v>252</v>
      </c>
      <c r="D18" s="44" t="s">
        <v>230</v>
      </c>
      <c r="E18" s="45" t="s">
        <v>253</v>
      </c>
      <c r="F18" s="46" t="s">
        <v>254</v>
      </c>
      <c r="G18" s="47" t="s">
        <v>255</v>
      </c>
      <c r="H18" s="42" t="s">
        <v>256</v>
      </c>
      <c r="I18" s="43" t="s">
        <v>257</v>
      </c>
      <c r="J18" s="44" t="s">
        <v>258</v>
      </c>
      <c r="K18" s="45" t="s">
        <v>259</v>
      </c>
      <c r="L18" s="46" t="s">
        <v>260</v>
      </c>
      <c r="M18" s="47" t="s">
        <v>261</v>
      </c>
      <c r="N18" s="42" t="s">
        <v>262</v>
      </c>
      <c r="O18" s="43" t="s">
        <v>263</v>
      </c>
      <c r="P18" s="44" t="s">
        <v>264</v>
      </c>
      <c r="Q18" s="45" t="s">
        <v>265</v>
      </c>
      <c r="R18" s="46" t="s">
        <v>163</v>
      </c>
      <c r="S18" s="47" t="s">
        <v>254</v>
      </c>
      <c r="T18" s="42" t="s">
        <v>266</v>
      </c>
      <c r="U18" s="43" t="s">
        <v>267</v>
      </c>
      <c r="V18" s="44" t="s">
        <v>268</v>
      </c>
      <c r="W18" s="45" t="s">
        <v>269</v>
      </c>
      <c r="X18" s="46" t="s">
        <v>270</v>
      </c>
      <c r="Y18" s="47" t="s">
        <v>271</v>
      </c>
      <c r="Z18" s="42" t="s">
        <v>272</v>
      </c>
      <c r="AA18" s="43" t="s">
        <v>273</v>
      </c>
      <c r="AB18" s="44" t="s">
        <v>274</v>
      </c>
      <c r="AC18" s="45" t="s">
        <v>275</v>
      </c>
      <c r="AD18" s="46" t="s">
        <v>276</v>
      </c>
      <c r="AE18" s="47" t="s">
        <v>274</v>
      </c>
      <c r="AF18" s="42" t="s">
        <v>277</v>
      </c>
      <c r="AG18" s="43" t="s">
        <v>278</v>
      </c>
      <c r="AH18" s="44" t="s">
        <v>274</v>
      </c>
      <c r="AI18" s="45" t="s">
        <v>279</v>
      </c>
      <c r="AJ18" s="46" t="s">
        <v>280</v>
      </c>
      <c r="AK18" s="47" t="s">
        <v>274</v>
      </c>
      <c r="AL18" s="42" t="s">
        <v>281</v>
      </c>
      <c r="AM18" s="44" t="s">
        <v>282</v>
      </c>
      <c r="AN18" s="45" t="s">
        <v>283</v>
      </c>
      <c r="AO18" s="47" t="s">
        <v>284</v>
      </c>
      <c r="AP18" s="42" t="s">
        <v>285</v>
      </c>
      <c r="AQ18" s="43" t="s">
        <v>274</v>
      </c>
      <c r="AR18" s="44" t="s">
        <v>274</v>
      </c>
      <c r="AS18" s="45" t="s">
        <v>286</v>
      </c>
      <c r="AT18" s="46" t="s">
        <v>274</v>
      </c>
      <c r="AU18" s="47" t="s">
        <v>274</v>
      </c>
      <c r="AV18" s="42" t="s">
        <v>276</v>
      </c>
      <c r="AW18" s="43" t="s">
        <v>274</v>
      </c>
      <c r="AX18" s="44" t="s">
        <v>274</v>
      </c>
      <c r="AY18" s="45" t="s">
        <v>287</v>
      </c>
      <c r="AZ18" s="46" t="s">
        <v>163</v>
      </c>
      <c r="BA18" s="47" t="s">
        <v>274</v>
      </c>
      <c r="BB18" s="42" t="s">
        <v>274</v>
      </c>
      <c r="BC18" s="43" t="s">
        <v>274</v>
      </c>
      <c r="BD18" s="44" t="s">
        <v>274</v>
      </c>
      <c r="BE18" s="45" t="s">
        <v>274</v>
      </c>
      <c r="BF18" s="46" t="s">
        <v>274</v>
      </c>
      <c r="BG18" s="47" t="s">
        <v>274</v>
      </c>
    </row>
    <row r="19" spans="1:59" s="48" customFormat="1" ht="32.1" hidden="1">
      <c r="A19" s="49">
        <v>45952</v>
      </c>
      <c r="B19" s="42" t="s">
        <v>251</v>
      </c>
      <c r="C19" s="43" t="s">
        <v>288</v>
      </c>
      <c r="D19" s="44" t="s">
        <v>289</v>
      </c>
      <c r="E19" s="45" t="s">
        <v>290</v>
      </c>
      <c r="F19" s="46" t="s">
        <v>291</v>
      </c>
      <c r="G19" s="47" t="s">
        <v>292</v>
      </c>
      <c r="H19" s="42" t="s">
        <v>293</v>
      </c>
      <c r="I19" s="43" t="s">
        <v>279</v>
      </c>
      <c r="J19" s="44" t="s">
        <v>279</v>
      </c>
      <c r="K19" s="45" t="s">
        <v>294</v>
      </c>
      <c r="L19" s="46" t="s">
        <v>295</v>
      </c>
      <c r="M19" s="47" t="s">
        <v>296</v>
      </c>
      <c r="N19" s="42" t="s">
        <v>297</v>
      </c>
      <c r="O19" s="43" t="s">
        <v>298</v>
      </c>
      <c r="P19" s="44" t="s">
        <v>279</v>
      </c>
      <c r="Q19" s="45" t="s">
        <v>299</v>
      </c>
      <c r="R19" s="46" t="s">
        <v>163</v>
      </c>
      <c r="S19" s="47" t="s">
        <v>268</v>
      </c>
      <c r="T19" s="42" t="s">
        <v>300</v>
      </c>
      <c r="U19" s="43" t="s">
        <v>301</v>
      </c>
      <c r="V19" s="44" t="s">
        <v>302</v>
      </c>
      <c r="W19" s="45" t="s">
        <v>302</v>
      </c>
      <c r="X19" s="46" t="s">
        <v>303</v>
      </c>
      <c r="Y19" s="47" t="s">
        <v>304</v>
      </c>
      <c r="Z19" s="42" t="s">
        <v>279</v>
      </c>
      <c r="AA19" s="43" t="s">
        <v>273</v>
      </c>
      <c r="AB19" s="44" t="s">
        <v>274</v>
      </c>
      <c r="AC19" s="45" t="s">
        <v>305</v>
      </c>
      <c r="AD19" s="46" t="s">
        <v>276</v>
      </c>
      <c r="AE19" s="47" t="s">
        <v>274</v>
      </c>
      <c r="AF19" s="42" t="s">
        <v>306</v>
      </c>
      <c r="AG19" s="43" t="s">
        <v>276</v>
      </c>
      <c r="AH19" s="44" t="s">
        <v>274</v>
      </c>
      <c r="AI19" s="45" t="s">
        <v>279</v>
      </c>
      <c r="AJ19" s="46" t="s">
        <v>280</v>
      </c>
      <c r="AK19" s="47" t="s">
        <v>274</v>
      </c>
      <c r="AL19" s="42" t="s">
        <v>281</v>
      </c>
      <c r="AM19" s="44" t="s">
        <v>307</v>
      </c>
      <c r="AN19" s="45" t="s">
        <v>308</v>
      </c>
      <c r="AO19" s="47" t="s">
        <v>309</v>
      </c>
      <c r="AP19" s="42" t="s">
        <v>310</v>
      </c>
      <c r="AQ19" s="43" t="s">
        <v>274</v>
      </c>
      <c r="AR19" s="44" t="s">
        <v>274</v>
      </c>
      <c r="AS19" s="45" t="s">
        <v>311</v>
      </c>
      <c r="AT19" s="46" t="s">
        <v>274</v>
      </c>
      <c r="AU19" s="47" t="s">
        <v>274</v>
      </c>
      <c r="AV19" s="42" t="s">
        <v>312</v>
      </c>
      <c r="AW19" s="43" t="s">
        <v>274</v>
      </c>
      <c r="AX19" s="44" t="s">
        <v>274</v>
      </c>
      <c r="AY19" s="45" t="s">
        <v>313</v>
      </c>
      <c r="AZ19" s="46" t="s">
        <v>163</v>
      </c>
      <c r="BA19" s="47" t="s">
        <v>274</v>
      </c>
      <c r="BB19" s="42" t="s">
        <v>274</v>
      </c>
      <c r="BC19" s="43" t="s">
        <v>274</v>
      </c>
      <c r="BD19" s="44" t="s">
        <v>274</v>
      </c>
      <c r="BE19" s="45" t="s">
        <v>274</v>
      </c>
      <c r="BF19" s="46" t="s">
        <v>274</v>
      </c>
      <c r="BG19" s="47" t="s">
        <v>274</v>
      </c>
    </row>
    <row r="20" spans="1:59" s="48" customFormat="1" ht="32.1" hidden="1">
      <c r="A20" s="49">
        <v>45954</v>
      </c>
      <c r="B20" s="42" t="s">
        <v>314</v>
      </c>
      <c r="C20" s="43" t="s">
        <v>261</v>
      </c>
      <c r="D20" s="44" t="s">
        <v>315</v>
      </c>
      <c r="E20" s="45" t="s">
        <v>316</v>
      </c>
      <c r="F20" s="46" t="s">
        <v>317</v>
      </c>
      <c r="G20" s="47" t="s">
        <v>314</v>
      </c>
      <c r="H20" s="42" t="s">
        <v>318</v>
      </c>
      <c r="I20" s="43" t="s">
        <v>265</v>
      </c>
      <c r="J20" s="44" t="s">
        <v>265</v>
      </c>
      <c r="K20" s="45" t="s">
        <v>319</v>
      </c>
      <c r="L20" s="46" t="s">
        <v>320</v>
      </c>
      <c r="M20" s="47" t="s">
        <v>321</v>
      </c>
      <c r="N20" s="42" t="s">
        <v>322</v>
      </c>
      <c r="O20" s="43" t="s">
        <v>279</v>
      </c>
      <c r="P20" s="44" t="s">
        <v>323</v>
      </c>
      <c r="Q20" s="45" t="s">
        <v>324</v>
      </c>
      <c r="R20" s="46" t="s">
        <v>163</v>
      </c>
      <c r="S20" s="47" t="s">
        <v>325</v>
      </c>
      <c r="T20" s="42" t="s">
        <v>326</v>
      </c>
      <c r="U20" s="43" t="s">
        <v>327</v>
      </c>
      <c r="V20" s="44" t="s">
        <v>328</v>
      </c>
      <c r="W20" s="45" t="s">
        <v>329</v>
      </c>
      <c r="X20" s="46" t="s">
        <v>330</v>
      </c>
      <c r="Y20" s="47" t="s">
        <v>331</v>
      </c>
      <c r="Z20" s="42" t="s">
        <v>332</v>
      </c>
      <c r="AA20" s="43" t="s">
        <v>333</v>
      </c>
      <c r="AB20" s="44" t="s">
        <v>274</v>
      </c>
      <c r="AC20" s="45" t="s">
        <v>334</v>
      </c>
      <c r="AD20" s="46" t="s">
        <v>335</v>
      </c>
      <c r="AE20" s="47" t="s">
        <v>274</v>
      </c>
      <c r="AF20" s="42" t="s">
        <v>336</v>
      </c>
      <c r="AG20" s="43" t="s">
        <v>337</v>
      </c>
      <c r="AH20" s="44" t="s">
        <v>274</v>
      </c>
      <c r="AI20" s="45" t="s">
        <v>338</v>
      </c>
      <c r="AJ20" s="46" t="s">
        <v>339</v>
      </c>
      <c r="AK20" s="47" t="s">
        <v>274</v>
      </c>
      <c r="AL20" s="42" t="s">
        <v>340</v>
      </c>
      <c r="AM20" s="44" t="s">
        <v>341</v>
      </c>
      <c r="AN20" s="45" t="s">
        <v>342</v>
      </c>
      <c r="AO20" s="47" t="s">
        <v>343</v>
      </c>
      <c r="AP20" s="42" t="s">
        <v>344</v>
      </c>
      <c r="AQ20" s="43" t="s">
        <v>274</v>
      </c>
      <c r="AR20" s="44" t="s">
        <v>274</v>
      </c>
      <c r="AS20" s="45" t="s">
        <v>345</v>
      </c>
      <c r="AT20" s="46" t="s">
        <v>346</v>
      </c>
      <c r="AU20" s="47" t="s">
        <v>274</v>
      </c>
      <c r="AV20" s="42" t="s">
        <v>347</v>
      </c>
      <c r="AW20" s="43" t="s">
        <v>348</v>
      </c>
      <c r="AX20" s="44" t="s">
        <v>274</v>
      </c>
      <c r="AY20" s="45" t="s">
        <v>349</v>
      </c>
      <c r="AZ20" s="46" t="s">
        <v>163</v>
      </c>
      <c r="BA20" s="47" t="s">
        <v>274</v>
      </c>
      <c r="BB20" s="42" t="s">
        <v>274</v>
      </c>
      <c r="BC20" s="43" t="s">
        <v>274</v>
      </c>
      <c r="BD20" s="44" t="s">
        <v>274</v>
      </c>
      <c r="BE20" s="45" t="s">
        <v>274</v>
      </c>
      <c r="BF20" s="46" t="s">
        <v>274</v>
      </c>
      <c r="BG20" s="47" t="s">
        <v>274</v>
      </c>
    </row>
    <row r="21" spans="1:59" s="48" customFormat="1" ht="32.1" hidden="1">
      <c r="A21" s="49">
        <v>45957</v>
      </c>
      <c r="B21" s="42" t="s">
        <v>350</v>
      </c>
      <c r="C21" s="43" t="s">
        <v>351</v>
      </c>
      <c r="D21" s="44" t="s">
        <v>352</v>
      </c>
      <c r="E21" s="45" t="s">
        <v>353</v>
      </c>
      <c r="F21" s="46" t="s">
        <v>354</v>
      </c>
      <c r="G21" s="47" t="s">
        <v>355</v>
      </c>
      <c r="H21" s="42" t="s">
        <v>356</v>
      </c>
      <c r="I21" s="43" t="s">
        <v>357</v>
      </c>
      <c r="J21" s="44" t="s">
        <v>357</v>
      </c>
      <c r="K21" s="45" t="s">
        <v>358</v>
      </c>
      <c r="L21" s="46" t="s">
        <v>261</v>
      </c>
      <c r="M21" s="47" t="s">
        <v>359</v>
      </c>
      <c r="N21" s="42" t="s">
        <v>360</v>
      </c>
      <c r="O21" s="43" t="s">
        <v>361</v>
      </c>
      <c r="P21" s="44" t="s">
        <v>362</v>
      </c>
      <c r="Q21" s="45" t="s">
        <v>363</v>
      </c>
      <c r="R21" s="46" t="s">
        <v>163</v>
      </c>
      <c r="S21" s="47" t="s">
        <v>364</v>
      </c>
      <c r="T21" s="42" t="s">
        <v>365</v>
      </c>
      <c r="U21" s="43" t="s">
        <v>366</v>
      </c>
      <c r="V21" s="44" t="s">
        <v>367</v>
      </c>
      <c r="W21" s="45" t="s">
        <v>368</v>
      </c>
      <c r="X21" s="46" t="s">
        <v>369</v>
      </c>
      <c r="Y21" s="47" t="s">
        <v>370</v>
      </c>
      <c r="Z21" s="42" t="s">
        <v>371</v>
      </c>
      <c r="AA21" s="43" t="s">
        <v>372</v>
      </c>
      <c r="AB21" s="44" t="s">
        <v>274</v>
      </c>
      <c r="AC21" s="45" t="s">
        <v>373</v>
      </c>
      <c r="AD21" s="46" t="s">
        <v>374</v>
      </c>
      <c r="AE21" s="47" t="s">
        <v>274</v>
      </c>
      <c r="AF21" s="42" t="s">
        <v>375</v>
      </c>
      <c r="AG21" s="43" t="s">
        <v>376</v>
      </c>
      <c r="AH21" s="44" t="s">
        <v>274</v>
      </c>
      <c r="AI21" s="45" t="s">
        <v>377</v>
      </c>
      <c r="AJ21" s="46" t="s">
        <v>269</v>
      </c>
      <c r="AK21" s="47" t="s">
        <v>274</v>
      </c>
      <c r="AL21" s="42" t="s">
        <v>378</v>
      </c>
      <c r="AM21" s="44" t="s">
        <v>379</v>
      </c>
      <c r="AN21" s="45" t="s">
        <v>380</v>
      </c>
      <c r="AO21" s="47" t="s">
        <v>381</v>
      </c>
      <c r="AP21" s="42" t="s">
        <v>282</v>
      </c>
      <c r="AQ21" s="43" t="s">
        <v>274</v>
      </c>
      <c r="AR21" s="44" t="s">
        <v>274</v>
      </c>
      <c r="AS21" s="45" t="s">
        <v>382</v>
      </c>
      <c r="AT21" s="46" t="s">
        <v>383</v>
      </c>
      <c r="AU21" s="47" t="s">
        <v>274</v>
      </c>
      <c r="AV21" s="42" t="s">
        <v>384</v>
      </c>
      <c r="AW21" s="43" t="s">
        <v>348</v>
      </c>
      <c r="AX21" s="44" t="s">
        <v>274</v>
      </c>
      <c r="AY21" s="45" t="s">
        <v>385</v>
      </c>
      <c r="AZ21" s="46" t="s">
        <v>163</v>
      </c>
      <c r="BA21" s="47" t="s">
        <v>274</v>
      </c>
      <c r="BB21" s="42" t="s">
        <v>274</v>
      </c>
      <c r="BC21" s="43" t="s">
        <v>274</v>
      </c>
      <c r="BD21" s="44" t="s">
        <v>274</v>
      </c>
      <c r="BE21" s="45" t="s">
        <v>274</v>
      </c>
      <c r="BF21" s="46" t="s">
        <v>274</v>
      </c>
      <c r="BG21" s="47" t="s">
        <v>274</v>
      </c>
    </row>
    <row r="22" spans="1:59" s="48" customFormat="1" ht="32.1" hidden="1">
      <c r="A22" s="49">
        <v>45959</v>
      </c>
      <c r="B22" s="42" t="s">
        <v>386</v>
      </c>
      <c r="C22" s="43" t="s">
        <v>387</v>
      </c>
      <c r="D22" s="44" t="s">
        <v>388</v>
      </c>
      <c r="E22" s="45" t="s">
        <v>389</v>
      </c>
      <c r="F22" s="46" t="s">
        <v>390</v>
      </c>
      <c r="G22" s="47" t="s">
        <v>391</v>
      </c>
      <c r="H22" s="42" t="s">
        <v>392</v>
      </c>
      <c r="I22" s="43" t="s">
        <v>393</v>
      </c>
      <c r="J22" s="44" t="s">
        <v>394</v>
      </c>
      <c r="K22" s="45" t="s">
        <v>395</v>
      </c>
      <c r="L22" s="46" t="s">
        <v>386</v>
      </c>
      <c r="M22" s="47" t="s">
        <v>396</v>
      </c>
      <c r="N22" s="42" t="s">
        <v>397</v>
      </c>
      <c r="O22" s="43" t="s">
        <v>392</v>
      </c>
      <c r="P22" s="44" t="s">
        <v>398</v>
      </c>
      <c r="Q22" s="45" t="s">
        <v>399</v>
      </c>
      <c r="R22" s="46" t="s">
        <v>163</v>
      </c>
      <c r="S22" s="47" t="s">
        <v>400</v>
      </c>
      <c r="T22" s="42" t="s">
        <v>401</v>
      </c>
      <c r="U22" s="43" t="s">
        <v>402</v>
      </c>
      <c r="V22" s="44" t="s">
        <v>403</v>
      </c>
      <c r="W22" s="45" t="s">
        <v>386</v>
      </c>
      <c r="X22" s="46" t="s">
        <v>404</v>
      </c>
      <c r="Y22" s="47" t="s">
        <v>405</v>
      </c>
      <c r="Z22" s="42" t="s">
        <v>393</v>
      </c>
      <c r="AA22" s="43" t="s">
        <v>406</v>
      </c>
      <c r="AB22" s="44" t="s">
        <v>407</v>
      </c>
      <c r="AC22" s="45" t="s">
        <v>408</v>
      </c>
      <c r="AD22" s="46" t="s">
        <v>409</v>
      </c>
      <c r="AE22" s="47" t="s">
        <v>407</v>
      </c>
      <c r="AF22" s="42" t="s">
        <v>410</v>
      </c>
      <c r="AG22" s="43" t="s">
        <v>411</v>
      </c>
      <c r="AH22" s="44" t="s">
        <v>407</v>
      </c>
      <c r="AI22" s="45" t="s">
        <v>412</v>
      </c>
      <c r="AJ22" s="46" t="s">
        <v>413</v>
      </c>
      <c r="AK22" s="47" t="s">
        <v>407</v>
      </c>
      <c r="AL22" s="42" t="s">
        <v>414</v>
      </c>
      <c r="AM22" s="44" t="s">
        <v>415</v>
      </c>
      <c r="AN22" s="45" t="s">
        <v>416</v>
      </c>
      <c r="AO22" s="47" t="s">
        <v>417</v>
      </c>
      <c r="AP22" s="42" t="s">
        <v>418</v>
      </c>
      <c r="AQ22" s="43" t="s">
        <v>419</v>
      </c>
      <c r="AR22" s="44" t="s">
        <v>407</v>
      </c>
      <c r="AS22" s="45" t="s">
        <v>420</v>
      </c>
      <c r="AT22" s="46" t="s">
        <v>274</v>
      </c>
      <c r="AU22" s="47" t="s">
        <v>274</v>
      </c>
      <c r="AV22" s="42" t="s">
        <v>421</v>
      </c>
      <c r="AW22" s="43" t="s">
        <v>348</v>
      </c>
      <c r="AX22" s="44" t="s">
        <v>274</v>
      </c>
      <c r="AY22" s="45" t="s">
        <v>422</v>
      </c>
      <c r="AZ22" s="46" t="s">
        <v>163</v>
      </c>
      <c r="BA22" s="47" t="s">
        <v>274</v>
      </c>
      <c r="BB22" s="42" t="s">
        <v>274</v>
      </c>
      <c r="BC22" s="43" t="s">
        <v>274</v>
      </c>
      <c r="BD22" s="44" t="s">
        <v>274</v>
      </c>
      <c r="BE22" s="45" t="s">
        <v>274</v>
      </c>
      <c r="BF22" s="46" t="s">
        <v>274</v>
      </c>
      <c r="BG22" s="47" t="s">
        <v>274</v>
      </c>
    </row>
    <row r="23" spans="1:59" s="48" customFormat="1" ht="32.1" hidden="1">
      <c r="A23" s="49">
        <v>45961</v>
      </c>
      <c r="B23" s="42" t="s">
        <v>336</v>
      </c>
      <c r="C23" s="43" t="s">
        <v>423</v>
      </c>
      <c r="D23" s="44" t="s">
        <v>388</v>
      </c>
      <c r="E23" s="45" t="s">
        <v>424</v>
      </c>
      <c r="F23" s="46" t="s">
        <v>425</v>
      </c>
      <c r="G23" s="47" t="s">
        <v>426</v>
      </c>
      <c r="H23" s="42" t="s">
        <v>427</v>
      </c>
      <c r="I23" s="43" t="s">
        <v>428</v>
      </c>
      <c r="J23" s="44" t="s">
        <v>429</v>
      </c>
      <c r="K23" s="45" t="s">
        <v>430</v>
      </c>
      <c r="L23" s="46" t="s">
        <v>431</v>
      </c>
      <c r="M23" s="47" t="s">
        <v>432</v>
      </c>
      <c r="N23" s="42" t="s">
        <v>433</v>
      </c>
      <c r="O23" s="43" t="s">
        <v>434</v>
      </c>
      <c r="P23" s="44" t="s">
        <v>435</v>
      </c>
      <c r="Q23" s="45" t="s">
        <v>436</v>
      </c>
      <c r="R23" s="46" t="s">
        <v>163</v>
      </c>
      <c r="S23" s="47" t="s">
        <v>437</v>
      </c>
      <c r="T23" s="42" t="s">
        <v>438</v>
      </c>
      <c r="U23" s="43" t="s">
        <v>439</v>
      </c>
      <c r="V23" s="44" t="s">
        <v>440</v>
      </c>
      <c r="W23" s="45" t="s">
        <v>441</v>
      </c>
      <c r="X23" s="46" t="s">
        <v>442</v>
      </c>
      <c r="Y23" s="47" t="s">
        <v>426</v>
      </c>
      <c r="Z23" s="42" t="s">
        <v>443</v>
      </c>
      <c r="AA23" s="43" t="s">
        <v>444</v>
      </c>
      <c r="AB23" s="44" t="s">
        <v>445</v>
      </c>
      <c r="AC23" s="45" t="s">
        <v>446</v>
      </c>
      <c r="AD23" s="46" t="s">
        <v>447</v>
      </c>
      <c r="AE23" s="47" t="s">
        <v>274</v>
      </c>
      <c r="AF23" s="42" t="s">
        <v>448</v>
      </c>
      <c r="AG23" s="43" t="s">
        <v>449</v>
      </c>
      <c r="AH23" s="44" t="s">
        <v>274</v>
      </c>
      <c r="AI23" s="45" t="s">
        <v>450</v>
      </c>
      <c r="AJ23" s="46" t="s">
        <v>451</v>
      </c>
      <c r="AK23" s="47" t="s">
        <v>274</v>
      </c>
      <c r="AL23" s="42" t="s">
        <v>452</v>
      </c>
      <c r="AM23" s="44" t="s">
        <v>453</v>
      </c>
      <c r="AN23" s="45" t="s">
        <v>454</v>
      </c>
      <c r="AO23" s="47" t="s">
        <v>455</v>
      </c>
      <c r="AP23" s="42" t="s">
        <v>456</v>
      </c>
      <c r="AQ23" s="43" t="s">
        <v>274</v>
      </c>
      <c r="AR23" s="44" t="s">
        <v>274</v>
      </c>
      <c r="AS23" s="45" t="s">
        <v>457</v>
      </c>
      <c r="AT23" s="46" t="s">
        <v>274</v>
      </c>
      <c r="AU23" s="47" t="s">
        <v>274</v>
      </c>
      <c r="AV23" s="42" t="s">
        <v>458</v>
      </c>
      <c r="AW23" s="43" t="s">
        <v>348</v>
      </c>
      <c r="AX23" s="44" t="s">
        <v>274</v>
      </c>
      <c r="AY23" s="45" t="s">
        <v>459</v>
      </c>
      <c r="AZ23" s="46" t="s">
        <v>163</v>
      </c>
      <c r="BA23" s="47" t="s">
        <v>274</v>
      </c>
      <c r="BB23" s="42" t="s">
        <v>460</v>
      </c>
      <c r="BC23" s="43" t="s">
        <v>274</v>
      </c>
      <c r="BD23" s="44" t="s">
        <v>274</v>
      </c>
      <c r="BE23" s="45" t="s">
        <v>461</v>
      </c>
      <c r="BF23" s="46" t="s">
        <v>274</v>
      </c>
      <c r="BG23" s="47" t="s">
        <v>274</v>
      </c>
    </row>
    <row r="24" spans="1:59" s="48" customFormat="1" ht="32.1">
      <c r="A24" s="49">
        <v>45964</v>
      </c>
      <c r="B24" s="42" t="s">
        <v>462</v>
      </c>
      <c r="C24" s="43" t="s">
        <v>463</v>
      </c>
      <c r="D24" s="44" t="s">
        <v>336</v>
      </c>
      <c r="E24" s="45" t="s">
        <v>424</v>
      </c>
      <c r="F24" s="46" t="s">
        <v>464</v>
      </c>
      <c r="G24" s="47" t="s">
        <v>391</v>
      </c>
      <c r="H24" s="42" t="s">
        <v>465</v>
      </c>
      <c r="I24" s="43" t="s">
        <v>466</v>
      </c>
      <c r="J24" s="44" t="s">
        <v>429</v>
      </c>
      <c r="K24" s="45" t="s">
        <v>467</v>
      </c>
      <c r="L24" s="46" t="s">
        <v>468</v>
      </c>
      <c r="M24" s="47" t="s">
        <v>469</v>
      </c>
      <c r="N24" s="42" t="s">
        <v>470</v>
      </c>
      <c r="O24" s="43" t="s">
        <v>471</v>
      </c>
      <c r="P24" s="44" t="s">
        <v>472</v>
      </c>
      <c r="Q24" s="45" t="s">
        <v>473</v>
      </c>
      <c r="R24" s="46" t="s">
        <v>163</v>
      </c>
      <c r="S24" s="47" t="s">
        <v>474</v>
      </c>
      <c r="T24" s="42" t="s">
        <v>475</v>
      </c>
      <c r="U24" s="43" t="s">
        <v>476</v>
      </c>
      <c r="V24" s="44" t="s">
        <v>477</v>
      </c>
      <c r="W24" s="45" t="s">
        <v>478</v>
      </c>
      <c r="X24" s="46" t="s">
        <v>479</v>
      </c>
      <c r="Y24" s="47" t="s">
        <v>480</v>
      </c>
      <c r="Z24" s="42" t="s">
        <v>481</v>
      </c>
      <c r="AA24" s="43" t="s">
        <v>482</v>
      </c>
      <c r="AB24" s="44" t="s">
        <v>483</v>
      </c>
      <c r="AC24" s="45" t="s">
        <v>484</v>
      </c>
      <c r="AD24" s="46" t="s">
        <v>485</v>
      </c>
      <c r="AE24" s="47" t="s">
        <v>486</v>
      </c>
      <c r="AF24" s="42" t="s">
        <v>487</v>
      </c>
      <c r="AG24" s="43" t="s">
        <v>488</v>
      </c>
      <c r="AH24" s="44" t="s">
        <v>274</v>
      </c>
      <c r="AI24" s="45" t="s">
        <v>489</v>
      </c>
      <c r="AJ24" s="46" t="s">
        <v>490</v>
      </c>
      <c r="AK24" s="47" t="s">
        <v>274</v>
      </c>
      <c r="AL24" s="42" t="s">
        <v>491</v>
      </c>
      <c r="AM24" s="44" t="s">
        <v>492</v>
      </c>
      <c r="AN24" s="45" t="s">
        <v>493</v>
      </c>
      <c r="AO24" s="47" t="s">
        <v>494</v>
      </c>
      <c r="AP24" s="42" t="s">
        <v>495</v>
      </c>
      <c r="AQ24" s="43" t="s">
        <v>274</v>
      </c>
      <c r="AR24" s="44" t="s">
        <v>274</v>
      </c>
      <c r="AS24" s="45" t="s">
        <v>496</v>
      </c>
      <c r="AT24" s="46" t="s">
        <v>274</v>
      </c>
      <c r="AU24" s="47" t="s">
        <v>274</v>
      </c>
      <c r="AV24" s="42" t="s">
        <v>497</v>
      </c>
      <c r="AW24" s="43" t="s">
        <v>274</v>
      </c>
      <c r="AX24" s="44" t="s">
        <v>274</v>
      </c>
      <c r="AY24" s="45" t="s">
        <v>498</v>
      </c>
      <c r="AZ24" s="46" t="s">
        <v>163</v>
      </c>
      <c r="BA24" s="47" t="s">
        <v>274</v>
      </c>
      <c r="BB24" s="42" t="s">
        <v>274</v>
      </c>
      <c r="BC24" s="43" t="s">
        <v>274</v>
      </c>
      <c r="BD24" s="44" t="s">
        <v>274</v>
      </c>
      <c r="BE24" s="45" t="s">
        <v>274</v>
      </c>
      <c r="BF24" s="46" t="s">
        <v>274</v>
      </c>
      <c r="BG24" s="47" t="s">
        <v>274</v>
      </c>
    </row>
    <row r="25" spans="1:59" s="48" customFormat="1" ht="15.95">
      <c r="A25" s="49">
        <v>45965</v>
      </c>
      <c r="B25" s="42" t="s">
        <v>499</v>
      </c>
      <c r="C25" s="43" t="s">
        <v>163</v>
      </c>
      <c r="D25" s="44" t="s">
        <v>500</v>
      </c>
      <c r="E25" s="45"/>
      <c r="F25" s="46" t="s">
        <v>163</v>
      </c>
      <c r="G25" s="47"/>
      <c r="H25" s="42"/>
      <c r="I25" s="43"/>
      <c r="J25" s="44"/>
      <c r="K25" s="45" t="s">
        <v>501</v>
      </c>
      <c r="L25" s="46"/>
      <c r="M25" s="47"/>
      <c r="N25" s="42"/>
      <c r="O25" s="43"/>
      <c r="P25" s="44"/>
      <c r="Q25" s="45"/>
      <c r="R25" s="46" t="s">
        <v>163</v>
      </c>
      <c r="S25" s="47" t="s">
        <v>502</v>
      </c>
      <c r="T25" s="42" t="s">
        <v>163</v>
      </c>
      <c r="U25" s="43"/>
      <c r="V25" s="44"/>
      <c r="W25" s="45"/>
      <c r="X25" s="46" t="s">
        <v>163</v>
      </c>
      <c r="Y25" s="47" t="s">
        <v>503</v>
      </c>
      <c r="Z25" s="42"/>
      <c r="AA25" s="43"/>
      <c r="AB25" s="44"/>
      <c r="AC25" s="45"/>
      <c r="AD25" s="46"/>
      <c r="AE25" s="47"/>
      <c r="AF25" s="42"/>
      <c r="AG25" s="43"/>
      <c r="AH25" s="44"/>
      <c r="AI25" s="45"/>
      <c r="AJ25" s="46"/>
      <c r="AK25" s="47"/>
      <c r="AL25" s="42"/>
      <c r="AM25" s="44" t="s">
        <v>163</v>
      </c>
      <c r="AN25" s="45" t="s">
        <v>504</v>
      </c>
      <c r="AO25" s="47"/>
      <c r="AP25" s="42"/>
      <c r="AQ25" s="43"/>
      <c r="AR25" s="44"/>
      <c r="AS25" s="45"/>
      <c r="AT25" s="46"/>
      <c r="AU25" s="47"/>
      <c r="AV25" s="42"/>
      <c r="AW25" s="43"/>
      <c r="AX25" s="44"/>
      <c r="AY25" s="45"/>
      <c r="AZ25" s="46" t="s">
        <v>163</v>
      </c>
      <c r="BA25" s="47"/>
      <c r="BB25" s="42"/>
      <c r="BC25" s="43"/>
      <c r="BD25" s="44"/>
      <c r="BE25" s="45" t="s">
        <v>505</v>
      </c>
      <c r="BF25" s="46"/>
      <c r="BG25" s="47"/>
    </row>
    <row r="26" spans="1:59" s="48" customFormat="1" ht="32.1">
      <c r="A26" s="49">
        <v>45966</v>
      </c>
      <c r="B26" s="42" t="s">
        <v>506</v>
      </c>
      <c r="C26" s="43" t="s">
        <v>163</v>
      </c>
      <c r="D26" s="44" t="s">
        <v>507</v>
      </c>
      <c r="E26" s="45" t="s">
        <v>508</v>
      </c>
      <c r="F26" s="46" t="s">
        <v>163</v>
      </c>
      <c r="G26" s="47" t="s">
        <v>509</v>
      </c>
      <c r="H26" s="42" t="s">
        <v>510</v>
      </c>
      <c r="I26" s="43" t="s">
        <v>511</v>
      </c>
      <c r="J26" s="44" t="s">
        <v>512</v>
      </c>
      <c r="K26" s="45" t="s">
        <v>513</v>
      </c>
      <c r="L26" s="46" t="s">
        <v>514</v>
      </c>
      <c r="M26" s="47" t="s">
        <v>515</v>
      </c>
      <c r="N26" s="42" t="s">
        <v>516</v>
      </c>
      <c r="O26" s="43" t="s">
        <v>517</v>
      </c>
      <c r="P26" s="44" t="s">
        <v>518</v>
      </c>
      <c r="Q26" s="45" t="s">
        <v>519</v>
      </c>
      <c r="R26" s="46" t="s">
        <v>163</v>
      </c>
      <c r="S26" s="47" t="s">
        <v>520</v>
      </c>
      <c r="T26" s="42" t="s">
        <v>521</v>
      </c>
      <c r="U26" s="43" t="s">
        <v>522</v>
      </c>
      <c r="V26" s="44" t="s">
        <v>523</v>
      </c>
      <c r="W26" s="45" t="s">
        <v>524</v>
      </c>
      <c r="X26" s="46" t="s">
        <v>163</v>
      </c>
      <c r="Y26" s="47" t="s">
        <v>525</v>
      </c>
      <c r="Z26" s="42" t="s">
        <v>526</v>
      </c>
      <c r="AA26" s="43" t="s">
        <v>527</v>
      </c>
      <c r="AB26" s="44" t="s">
        <v>274</v>
      </c>
      <c r="AC26" s="45" t="s">
        <v>528</v>
      </c>
      <c r="AD26" s="46" t="s">
        <v>529</v>
      </c>
      <c r="AE26" s="47" t="s">
        <v>274</v>
      </c>
      <c r="AF26" s="42" t="s">
        <v>522</v>
      </c>
      <c r="AG26" s="43" t="s">
        <v>530</v>
      </c>
      <c r="AH26" s="44" t="s">
        <v>531</v>
      </c>
      <c r="AI26" s="45" t="s">
        <v>532</v>
      </c>
      <c r="AJ26" s="46" t="s">
        <v>533</v>
      </c>
      <c r="AK26" s="47" t="s">
        <v>274</v>
      </c>
      <c r="AL26" s="42" t="s">
        <v>534</v>
      </c>
      <c r="AM26" s="44" t="s">
        <v>163</v>
      </c>
      <c r="AN26" s="45" t="s">
        <v>163</v>
      </c>
      <c r="AO26" s="47" t="s">
        <v>535</v>
      </c>
      <c r="AP26" s="42" t="s">
        <v>536</v>
      </c>
      <c r="AQ26" s="43" t="s">
        <v>274</v>
      </c>
      <c r="AR26" s="44" t="s">
        <v>274</v>
      </c>
      <c r="AS26" s="45" t="s">
        <v>537</v>
      </c>
      <c r="AT26" s="46" t="s">
        <v>274</v>
      </c>
      <c r="AU26" s="47" t="s">
        <v>274</v>
      </c>
      <c r="AV26" s="42" t="s">
        <v>538</v>
      </c>
      <c r="AW26" s="43" t="s">
        <v>274</v>
      </c>
      <c r="AX26" s="44" t="s">
        <v>274</v>
      </c>
      <c r="AY26" s="45" t="s">
        <v>539</v>
      </c>
      <c r="AZ26" s="46" t="s">
        <v>163</v>
      </c>
      <c r="BA26" s="47" t="s">
        <v>274</v>
      </c>
      <c r="BB26" s="42" t="s">
        <v>274</v>
      </c>
      <c r="BC26" s="43" t="s">
        <v>274</v>
      </c>
      <c r="BD26" s="44" t="s">
        <v>274</v>
      </c>
      <c r="BE26" s="45" t="s">
        <v>505</v>
      </c>
      <c r="BF26" s="46" t="s">
        <v>274</v>
      </c>
      <c r="BG26" s="47" t="s">
        <v>274</v>
      </c>
    </row>
    <row r="27" spans="1:59" s="48" customFormat="1" ht="15.95">
      <c r="A27" s="49">
        <v>45968</v>
      </c>
      <c r="B27" s="42" t="s">
        <v>506</v>
      </c>
      <c r="C27" s="43" t="s">
        <v>163</v>
      </c>
      <c r="D27" s="44" t="s">
        <v>163</v>
      </c>
      <c r="E27" s="45" t="s">
        <v>525</v>
      </c>
      <c r="F27" s="46" t="s">
        <v>163</v>
      </c>
      <c r="G27" s="47" t="s">
        <v>540</v>
      </c>
      <c r="H27" s="42" t="s">
        <v>541</v>
      </c>
      <c r="I27" s="43" t="s">
        <v>542</v>
      </c>
      <c r="J27" s="44" t="s">
        <v>543</v>
      </c>
      <c r="K27" s="45" t="s">
        <v>544</v>
      </c>
      <c r="L27" s="46" t="s">
        <v>545</v>
      </c>
      <c r="M27" s="47" t="s">
        <v>546</v>
      </c>
      <c r="N27" s="42" t="s">
        <v>547</v>
      </c>
      <c r="O27" s="43" t="s">
        <v>548</v>
      </c>
      <c r="P27" s="44" t="s">
        <v>163</v>
      </c>
      <c r="Q27" s="45" t="s">
        <v>525</v>
      </c>
      <c r="R27" s="46" t="s">
        <v>163</v>
      </c>
      <c r="S27" s="47" t="s">
        <v>163</v>
      </c>
      <c r="T27" s="42" t="s">
        <v>163</v>
      </c>
      <c r="U27" s="43" t="s">
        <v>163</v>
      </c>
      <c r="V27" s="44" t="s">
        <v>163</v>
      </c>
      <c r="W27" s="45" t="s">
        <v>549</v>
      </c>
      <c r="X27" s="46" t="s">
        <v>163</v>
      </c>
      <c r="Y27" s="47" t="s">
        <v>525</v>
      </c>
      <c r="Z27" s="42" t="s">
        <v>550</v>
      </c>
      <c r="AA27" s="43" t="s">
        <v>163</v>
      </c>
      <c r="AB27" s="44" t="s">
        <v>274</v>
      </c>
      <c r="AC27" s="45" t="s">
        <v>528</v>
      </c>
      <c r="AD27" s="46" t="s">
        <v>163</v>
      </c>
      <c r="AE27" s="47" t="s">
        <v>274</v>
      </c>
      <c r="AF27" s="42" t="s">
        <v>163</v>
      </c>
      <c r="AG27" s="43" t="s">
        <v>551</v>
      </c>
      <c r="AH27" s="44" t="s">
        <v>274</v>
      </c>
      <c r="AI27" s="45" t="s">
        <v>532</v>
      </c>
      <c r="AJ27" s="46" t="s">
        <v>552</v>
      </c>
      <c r="AK27" s="47" t="s">
        <v>274</v>
      </c>
      <c r="AL27" s="42" t="s">
        <v>163</v>
      </c>
      <c r="AM27" s="44" t="s">
        <v>163</v>
      </c>
      <c r="AN27" s="45" t="s">
        <v>163</v>
      </c>
      <c r="AO27" s="47" t="s">
        <v>535</v>
      </c>
      <c r="AP27" s="42" t="s">
        <v>553</v>
      </c>
      <c r="AQ27" s="43" t="s">
        <v>274</v>
      </c>
      <c r="AR27" s="44" t="s">
        <v>274</v>
      </c>
      <c r="AS27" s="45" t="s">
        <v>537</v>
      </c>
      <c r="AT27" s="46" t="s">
        <v>274</v>
      </c>
      <c r="AU27" s="47" t="s">
        <v>274</v>
      </c>
      <c r="AV27" s="42" t="s">
        <v>554</v>
      </c>
      <c r="AW27" s="43" t="s">
        <v>274</v>
      </c>
      <c r="AX27" s="44" t="s">
        <v>274</v>
      </c>
      <c r="AY27" s="45" t="s">
        <v>539</v>
      </c>
      <c r="AZ27" s="46" t="s">
        <v>163</v>
      </c>
      <c r="BA27" s="47" t="s">
        <v>274</v>
      </c>
      <c r="BB27" s="42" t="s">
        <v>274</v>
      </c>
      <c r="BC27" s="43" t="s">
        <v>274</v>
      </c>
      <c r="BD27" s="44" t="s">
        <v>274</v>
      </c>
      <c r="BE27" s="45" t="s">
        <v>505</v>
      </c>
      <c r="BF27" s="46" t="s">
        <v>274</v>
      </c>
      <c r="BG27" s="47" t="s">
        <v>274</v>
      </c>
    </row>
    <row r="28" spans="1:59" s="48" customFormat="1" ht="15.95">
      <c r="A28" s="49">
        <v>45970</v>
      </c>
      <c r="B28" s="42" t="s">
        <v>555</v>
      </c>
      <c r="C28" s="43" t="s">
        <v>163</v>
      </c>
      <c r="D28" s="44" t="s">
        <v>163</v>
      </c>
      <c r="E28" s="45" t="s">
        <v>556</v>
      </c>
      <c r="F28" s="46" t="s">
        <v>163</v>
      </c>
      <c r="G28" s="47" t="s">
        <v>163</v>
      </c>
      <c r="H28" s="42" t="s">
        <v>557</v>
      </c>
      <c r="I28" s="43"/>
      <c r="J28" s="44"/>
      <c r="K28" s="45"/>
      <c r="L28" s="46"/>
      <c r="M28" s="47"/>
      <c r="N28" s="42" t="s">
        <v>163</v>
      </c>
      <c r="O28" s="43"/>
      <c r="P28" s="44" t="s">
        <v>163</v>
      </c>
      <c r="Q28" s="45" t="s">
        <v>558</v>
      </c>
      <c r="R28" s="46" t="s">
        <v>163</v>
      </c>
      <c r="S28" s="47" t="s">
        <v>163</v>
      </c>
      <c r="T28" s="42" t="s">
        <v>163</v>
      </c>
      <c r="U28" s="43" t="s">
        <v>163</v>
      </c>
      <c r="V28" s="44" t="s">
        <v>163</v>
      </c>
      <c r="W28" s="45" t="s">
        <v>557</v>
      </c>
      <c r="X28" s="46" t="s">
        <v>163</v>
      </c>
      <c r="Y28" s="47"/>
      <c r="Z28" s="42" t="s">
        <v>163</v>
      </c>
      <c r="AA28" s="43" t="s">
        <v>163</v>
      </c>
      <c r="AB28" s="44"/>
      <c r="AC28" s="45"/>
      <c r="AD28" s="46" t="s">
        <v>163</v>
      </c>
      <c r="AE28" s="47"/>
      <c r="AF28" s="42" t="s">
        <v>163</v>
      </c>
      <c r="AG28" s="43" t="s">
        <v>163</v>
      </c>
      <c r="AH28" s="44"/>
      <c r="AI28" s="45"/>
      <c r="AJ28" s="46"/>
      <c r="AK28" s="47"/>
      <c r="AL28" s="42" t="s">
        <v>163</v>
      </c>
      <c r="AM28" s="44" t="s">
        <v>163</v>
      </c>
      <c r="AN28" s="45" t="s">
        <v>163</v>
      </c>
      <c r="AO28" s="47"/>
      <c r="AP28" s="42" t="s">
        <v>163</v>
      </c>
      <c r="AQ28" s="43"/>
      <c r="AR28" s="44"/>
      <c r="AS28" s="45"/>
      <c r="AT28" s="46"/>
      <c r="AU28" s="47"/>
      <c r="AV28" s="42" t="s">
        <v>163</v>
      </c>
      <c r="AW28" s="43"/>
      <c r="AX28" s="44"/>
      <c r="AY28" s="45"/>
      <c r="AZ28" s="46" t="s">
        <v>163</v>
      </c>
      <c r="BA28" s="47"/>
      <c r="BB28" s="42"/>
      <c r="BC28" s="43"/>
      <c r="BD28" s="44"/>
      <c r="BE28" s="45"/>
      <c r="BF28" s="46"/>
      <c r="BG28" s="47"/>
    </row>
    <row r="29" spans="1:59" s="48" customFormat="1" ht="15.95">
      <c r="A29" s="49">
        <v>45971</v>
      </c>
      <c r="B29" s="42">
        <v>2.5</v>
      </c>
      <c r="C29" s="43" t="s">
        <v>163</v>
      </c>
      <c r="D29" s="44" t="s">
        <v>163</v>
      </c>
      <c r="E29" s="45" t="s">
        <v>163</v>
      </c>
      <c r="F29" s="46" t="s">
        <v>163</v>
      </c>
      <c r="G29" s="47" t="s">
        <v>163</v>
      </c>
      <c r="H29" s="42" t="s">
        <v>163</v>
      </c>
      <c r="I29" s="43" t="s">
        <v>559</v>
      </c>
      <c r="J29" s="44" t="s">
        <v>560</v>
      </c>
      <c r="K29" s="45" t="s">
        <v>552</v>
      </c>
      <c r="L29" s="46" t="s">
        <v>561</v>
      </c>
      <c r="M29" s="47" t="s">
        <v>562</v>
      </c>
      <c r="N29" s="42" t="s">
        <v>163</v>
      </c>
      <c r="O29" s="43" t="s">
        <v>563</v>
      </c>
      <c r="P29" s="44" t="s">
        <v>163</v>
      </c>
      <c r="Q29" s="45" t="s">
        <v>163</v>
      </c>
      <c r="R29" s="46" t="s">
        <v>163</v>
      </c>
      <c r="S29" s="47" t="s">
        <v>163</v>
      </c>
      <c r="T29" s="42" t="s">
        <v>163</v>
      </c>
      <c r="U29" s="43" t="s">
        <v>163</v>
      </c>
      <c r="V29" s="44" t="s">
        <v>163</v>
      </c>
      <c r="W29" s="45" t="s">
        <v>163</v>
      </c>
      <c r="X29" s="46" t="s">
        <v>163</v>
      </c>
      <c r="Y29" s="47" t="s">
        <v>564</v>
      </c>
      <c r="Z29" s="42" t="s">
        <v>163</v>
      </c>
      <c r="AA29" s="43" t="s">
        <v>163</v>
      </c>
      <c r="AB29" s="44" t="s">
        <v>274</v>
      </c>
      <c r="AC29" s="45" t="s">
        <v>565</v>
      </c>
      <c r="AD29" s="46" t="s">
        <v>163</v>
      </c>
      <c r="AE29" s="47" t="s">
        <v>274</v>
      </c>
      <c r="AF29" s="42" t="s">
        <v>163</v>
      </c>
      <c r="AG29" s="43" t="s">
        <v>163</v>
      </c>
      <c r="AH29" s="44" t="s">
        <v>274</v>
      </c>
      <c r="AI29" s="45" t="s">
        <v>566</v>
      </c>
      <c r="AJ29" s="46" t="s">
        <v>567</v>
      </c>
      <c r="AK29" s="47" t="s">
        <v>274</v>
      </c>
      <c r="AL29" s="42" t="s">
        <v>163</v>
      </c>
      <c r="AM29" s="44" t="s">
        <v>163</v>
      </c>
      <c r="AN29" s="45" t="s">
        <v>163</v>
      </c>
      <c r="AO29" s="47" t="s">
        <v>560</v>
      </c>
      <c r="AP29" s="42" t="s">
        <v>163</v>
      </c>
      <c r="AQ29" s="43" t="s">
        <v>274</v>
      </c>
      <c r="AR29" s="44" t="s">
        <v>568</v>
      </c>
      <c r="AS29" s="45" t="s">
        <v>537</v>
      </c>
      <c r="AT29" s="46" t="s">
        <v>274</v>
      </c>
      <c r="AU29" s="47" t="s">
        <v>274</v>
      </c>
      <c r="AV29" s="42" t="s">
        <v>163</v>
      </c>
      <c r="AW29" s="43" t="s">
        <v>274</v>
      </c>
      <c r="AX29" s="44" t="s">
        <v>274</v>
      </c>
      <c r="AY29" s="45" t="s">
        <v>428</v>
      </c>
      <c r="AZ29" s="46" t="s">
        <v>163</v>
      </c>
      <c r="BA29" s="47" t="s">
        <v>274</v>
      </c>
      <c r="BB29" s="42" t="s">
        <v>274</v>
      </c>
      <c r="BC29" s="43" t="s">
        <v>274</v>
      </c>
      <c r="BD29" s="44" t="s">
        <v>274</v>
      </c>
      <c r="BE29" s="45" t="s">
        <v>505</v>
      </c>
      <c r="BF29" s="46" t="s">
        <v>274</v>
      </c>
      <c r="BG29" s="47" t="s">
        <v>274</v>
      </c>
    </row>
    <row r="30" spans="1:59" s="48" customFormat="1" ht="15.95">
      <c r="A30" s="49">
        <v>45972</v>
      </c>
      <c r="B30" s="42" t="s">
        <v>569</v>
      </c>
      <c r="C30" s="43" t="s">
        <v>163</v>
      </c>
      <c r="D30" s="44" t="s">
        <v>163</v>
      </c>
      <c r="E30" s="45" t="s">
        <v>163</v>
      </c>
      <c r="F30" s="46" t="s">
        <v>163</v>
      </c>
      <c r="G30" s="47" t="s">
        <v>163</v>
      </c>
      <c r="H30" s="42" t="s">
        <v>163</v>
      </c>
      <c r="I30" s="43"/>
      <c r="J30" s="44" t="s">
        <v>163</v>
      </c>
      <c r="K30" s="45"/>
      <c r="L30" s="46"/>
      <c r="M30" s="47" t="s">
        <v>163</v>
      </c>
      <c r="N30" s="42" t="s">
        <v>163</v>
      </c>
      <c r="O30" s="43"/>
      <c r="P30" s="44" t="s">
        <v>163</v>
      </c>
      <c r="Q30" s="45" t="s">
        <v>163</v>
      </c>
      <c r="R30" s="46" t="s">
        <v>163</v>
      </c>
      <c r="S30" s="47" t="s">
        <v>163</v>
      </c>
      <c r="T30" s="42" t="s">
        <v>163</v>
      </c>
      <c r="U30" s="43" t="s">
        <v>163</v>
      </c>
      <c r="V30" s="44" t="s">
        <v>163</v>
      </c>
      <c r="W30" s="45" t="s">
        <v>163</v>
      </c>
      <c r="X30" s="46" t="s">
        <v>163</v>
      </c>
      <c r="Y30" s="47" t="s">
        <v>163</v>
      </c>
      <c r="Z30" s="42" t="s">
        <v>163</v>
      </c>
      <c r="AA30" s="43" t="s">
        <v>163</v>
      </c>
      <c r="AB30" s="44"/>
      <c r="AC30" s="45"/>
      <c r="AD30" s="46" t="s">
        <v>163</v>
      </c>
      <c r="AE30" s="47"/>
      <c r="AF30" s="42" t="s">
        <v>163</v>
      </c>
      <c r="AG30" s="43" t="s">
        <v>163</v>
      </c>
      <c r="AH30" s="44"/>
      <c r="AI30" s="45"/>
      <c r="AJ30" s="46"/>
      <c r="AK30" s="47"/>
      <c r="AL30" s="42" t="s">
        <v>163</v>
      </c>
      <c r="AM30" s="44" t="s">
        <v>163</v>
      </c>
      <c r="AN30" s="45" t="s">
        <v>163</v>
      </c>
      <c r="AO30" s="47" t="s">
        <v>163</v>
      </c>
      <c r="AP30" s="42" t="s">
        <v>163</v>
      </c>
      <c r="AQ30" s="43"/>
      <c r="AR30" s="44"/>
      <c r="AS30" s="45"/>
      <c r="AT30" s="46"/>
      <c r="AU30" s="47"/>
      <c r="AV30" s="42" t="s">
        <v>163</v>
      </c>
      <c r="AW30" s="43"/>
      <c r="AX30" s="44"/>
      <c r="AY30" s="45"/>
      <c r="AZ30" s="46" t="s">
        <v>163</v>
      </c>
      <c r="BA30" s="47"/>
      <c r="BB30" s="42"/>
      <c r="BC30" s="43"/>
      <c r="BD30" s="44"/>
      <c r="BE30" s="45"/>
      <c r="BF30" s="46"/>
      <c r="BG30" s="47"/>
    </row>
    <row r="31" spans="1:59" s="48" customFormat="1" ht="15.95">
      <c r="A31" s="49">
        <v>45973</v>
      </c>
      <c r="B31" s="42" t="s">
        <v>570</v>
      </c>
      <c r="C31" s="43" t="s">
        <v>163</v>
      </c>
      <c r="D31" s="44" t="s">
        <v>163</v>
      </c>
      <c r="E31" s="45" t="s">
        <v>163</v>
      </c>
      <c r="F31" s="46" t="s">
        <v>163</v>
      </c>
      <c r="G31" s="47" t="s">
        <v>163</v>
      </c>
      <c r="H31" s="42" t="s">
        <v>163</v>
      </c>
      <c r="I31" s="43" t="s">
        <v>571</v>
      </c>
      <c r="J31" s="44" t="s">
        <v>163</v>
      </c>
      <c r="K31" s="45" t="s">
        <v>560</v>
      </c>
      <c r="L31" s="46" t="s">
        <v>572</v>
      </c>
      <c r="M31" s="47" t="s">
        <v>163</v>
      </c>
      <c r="N31" s="42" t="s">
        <v>163</v>
      </c>
      <c r="O31" s="43" t="s">
        <v>573</v>
      </c>
      <c r="P31" s="44" t="s">
        <v>163</v>
      </c>
      <c r="Q31" s="45" t="s">
        <v>163</v>
      </c>
      <c r="R31" s="46" t="s">
        <v>163</v>
      </c>
      <c r="S31" s="47" t="s">
        <v>163</v>
      </c>
      <c r="T31" s="42" t="s">
        <v>163</v>
      </c>
      <c r="U31" s="43" t="s">
        <v>163</v>
      </c>
      <c r="V31" s="44" t="s">
        <v>163</v>
      </c>
      <c r="W31" s="45" t="s">
        <v>163</v>
      </c>
      <c r="X31" s="46" t="s">
        <v>163</v>
      </c>
      <c r="Y31" s="47" t="s">
        <v>163</v>
      </c>
      <c r="Z31" s="42" t="s">
        <v>163</v>
      </c>
      <c r="AA31" s="43" t="s">
        <v>163</v>
      </c>
      <c r="AB31" s="44" t="s">
        <v>274</v>
      </c>
      <c r="AC31" s="45" t="s">
        <v>562</v>
      </c>
      <c r="AD31" s="46" t="s">
        <v>163</v>
      </c>
      <c r="AE31" s="47" t="s">
        <v>274</v>
      </c>
      <c r="AF31" s="42" t="s">
        <v>163</v>
      </c>
      <c r="AG31" s="43" t="s">
        <v>163</v>
      </c>
      <c r="AH31" s="44" t="s">
        <v>274</v>
      </c>
      <c r="AI31" s="45" t="s">
        <v>574</v>
      </c>
      <c r="AJ31" s="46" t="s">
        <v>575</v>
      </c>
      <c r="AK31" s="47" t="s">
        <v>274</v>
      </c>
      <c r="AL31" s="42" t="s">
        <v>163</v>
      </c>
      <c r="AM31" s="44" t="s">
        <v>163</v>
      </c>
      <c r="AN31" s="45" t="s">
        <v>163</v>
      </c>
      <c r="AO31" s="47" t="s">
        <v>163</v>
      </c>
      <c r="AP31" s="42" t="s">
        <v>163</v>
      </c>
      <c r="AQ31" s="43" t="s">
        <v>274</v>
      </c>
      <c r="AR31" s="44" t="s">
        <v>568</v>
      </c>
      <c r="AS31" s="45" t="s">
        <v>576</v>
      </c>
      <c r="AT31" s="46" t="s">
        <v>274</v>
      </c>
      <c r="AU31" s="47" t="s">
        <v>274</v>
      </c>
      <c r="AV31" s="42" t="s">
        <v>163</v>
      </c>
      <c r="AW31" s="43" t="s">
        <v>274</v>
      </c>
      <c r="AX31" s="44" t="s">
        <v>274</v>
      </c>
      <c r="AY31" s="45" t="s">
        <v>428</v>
      </c>
      <c r="AZ31" s="46" t="s">
        <v>163</v>
      </c>
      <c r="BA31" s="47" t="s">
        <v>274</v>
      </c>
      <c r="BB31" s="42" t="s">
        <v>274</v>
      </c>
      <c r="BC31" s="43" t="s">
        <v>274</v>
      </c>
      <c r="BD31" s="44" t="s">
        <v>274</v>
      </c>
      <c r="BE31" s="45" t="s">
        <v>505</v>
      </c>
      <c r="BF31" s="46" t="s">
        <v>274</v>
      </c>
      <c r="BG31" s="47" t="s">
        <v>274</v>
      </c>
    </row>
    <row r="32" spans="1:59" s="48" customFormat="1" ht="32.1">
      <c r="A32" s="49">
        <v>45974</v>
      </c>
      <c r="B32" s="42" t="s">
        <v>163</v>
      </c>
      <c r="C32" s="43" t="s">
        <v>163</v>
      </c>
      <c r="D32" s="44" t="s">
        <v>163</v>
      </c>
      <c r="E32" s="45" t="s">
        <v>163</v>
      </c>
      <c r="F32" s="46" t="s">
        <v>163</v>
      </c>
      <c r="G32" s="47" t="s">
        <v>163</v>
      </c>
      <c r="H32" s="42" t="s">
        <v>163</v>
      </c>
      <c r="I32" s="43" t="s">
        <v>163</v>
      </c>
      <c r="J32" s="44" t="s">
        <v>163</v>
      </c>
      <c r="K32" s="45" t="s">
        <v>163</v>
      </c>
      <c r="L32" s="46" t="s">
        <v>163</v>
      </c>
      <c r="M32" s="47" t="s">
        <v>163</v>
      </c>
      <c r="N32" s="42" t="s">
        <v>163</v>
      </c>
      <c r="O32" s="43" t="s">
        <v>163</v>
      </c>
      <c r="P32" s="44" t="s">
        <v>163</v>
      </c>
      <c r="Q32" s="45" t="s">
        <v>163</v>
      </c>
      <c r="R32" s="46" t="s">
        <v>163</v>
      </c>
      <c r="S32" s="47" t="s">
        <v>163</v>
      </c>
      <c r="T32" s="42" t="s">
        <v>163</v>
      </c>
      <c r="U32" s="43" t="s">
        <v>163</v>
      </c>
      <c r="V32" s="44" t="s">
        <v>163</v>
      </c>
      <c r="W32" s="45" t="s">
        <v>163</v>
      </c>
      <c r="X32" s="46" t="s">
        <v>163</v>
      </c>
      <c r="Y32" s="47" t="s">
        <v>163</v>
      </c>
      <c r="Z32" s="42" t="s">
        <v>163</v>
      </c>
      <c r="AA32" s="43" t="s">
        <v>163</v>
      </c>
      <c r="AB32" s="44" t="s">
        <v>274</v>
      </c>
      <c r="AC32" s="45" t="s">
        <v>163</v>
      </c>
      <c r="AD32" s="46" t="s">
        <v>163</v>
      </c>
      <c r="AE32" s="47" t="s">
        <v>274</v>
      </c>
      <c r="AF32" s="42" t="s">
        <v>163</v>
      </c>
      <c r="AG32" s="43" t="s">
        <v>163</v>
      </c>
      <c r="AH32" s="44" t="s">
        <v>577</v>
      </c>
      <c r="AI32" s="45" t="s">
        <v>578</v>
      </c>
      <c r="AJ32" s="46" t="s">
        <v>163</v>
      </c>
      <c r="AK32" s="47" t="s">
        <v>274</v>
      </c>
      <c r="AL32" s="42" t="s">
        <v>163</v>
      </c>
      <c r="AM32" s="44" t="s">
        <v>163</v>
      </c>
      <c r="AN32" s="45" t="s">
        <v>163</v>
      </c>
      <c r="AO32" s="47" t="s">
        <v>163</v>
      </c>
      <c r="AP32" s="42" t="s">
        <v>163</v>
      </c>
      <c r="AQ32" s="43" t="s">
        <v>274</v>
      </c>
      <c r="AR32" s="44" t="s">
        <v>568</v>
      </c>
      <c r="AS32" s="45" t="s">
        <v>579</v>
      </c>
      <c r="AT32" s="46" t="s">
        <v>274</v>
      </c>
      <c r="AU32" s="47" t="s">
        <v>274</v>
      </c>
      <c r="AV32" s="42" t="s">
        <v>163</v>
      </c>
      <c r="AW32" s="43" t="s">
        <v>274</v>
      </c>
      <c r="AX32" s="44" t="s">
        <v>274</v>
      </c>
      <c r="AY32" s="45" t="s">
        <v>580</v>
      </c>
      <c r="AZ32" s="46" t="s">
        <v>163</v>
      </c>
      <c r="BA32" s="47" t="s">
        <v>274</v>
      </c>
      <c r="BB32" s="42" t="s">
        <v>274</v>
      </c>
      <c r="BC32" s="43" t="s">
        <v>274</v>
      </c>
      <c r="BD32" s="44" t="s">
        <v>274</v>
      </c>
      <c r="BE32" s="45" t="s">
        <v>505</v>
      </c>
      <c r="BF32" s="46" t="s">
        <v>274</v>
      </c>
      <c r="BG32" s="47" t="s">
        <v>274</v>
      </c>
    </row>
    <row r="33" spans="1:59" s="48" customFormat="1" ht="15.95">
      <c r="A33" s="49">
        <v>45975</v>
      </c>
      <c r="B33" s="42" t="s">
        <v>163</v>
      </c>
      <c r="C33" s="43" t="s">
        <v>163</v>
      </c>
      <c r="D33" s="44" t="s">
        <v>163</v>
      </c>
      <c r="E33" s="45" t="s">
        <v>163</v>
      </c>
      <c r="F33" s="46" t="s">
        <v>163</v>
      </c>
      <c r="G33" s="47" t="s">
        <v>163</v>
      </c>
      <c r="H33" s="42" t="s">
        <v>163</v>
      </c>
      <c r="I33" s="43" t="s">
        <v>163</v>
      </c>
      <c r="J33" s="44" t="s">
        <v>163</v>
      </c>
      <c r="K33" s="45" t="s">
        <v>163</v>
      </c>
      <c r="L33" s="46" t="s">
        <v>163</v>
      </c>
      <c r="M33" s="47" t="s">
        <v>163</v>
      </c>
      <c r="N33" s="42" t="s">
        <v>163</v>
      </c>
      <c r="O33" s="43" t="s">
        <v>163</v>
      </c>
      <c r="P33" s="44" t="s">
        <v>163</v>
      </c>
      <c r="Q33" s="45" t="s">
        <v>163</v>
      </c>
      <c r="R33" s="46" t="s">
        <v>163</v>
      </c>
      <c r="S33" s="47" t="s">
        <v>163</v>
      </c>
      <c r="T33" s="42" t="s">
        <v>163</v>
      </c>
      <c r="U33" s="43" t="s">
        <v>163</v>
      </c>
      <c r="V33" s="44" t="s">
        <v>163</v>
      </c>
      <c r="W33" s="45" t="s">
        <v>163</v>
      </c>
      <c r="X33" s="46" t="s">
        <v>163</v>
      </c>
      <c r="Y33" s="47" t="s">
        <v>163</v>
      </c>
      <c r="Z33" s="42" t="s">
        <v>163</v>
      </c>
      <c r="AA33" s="43" t="s">
        <v>163</v>
      </c>
      <c r="AB33" s="44" t="s">
        <v>581</v>
      </c>
      <c r="AC33" s="45" t="s">
        <v>163</v>
      </c>
      <c r="AD33" s="46" t="s">
        <v>163</v>
      </c>
      <c r="AE33" s="47" t="s">
        <v>581</v>
      </c>
      <c r="AF33" s="42" t="s">
        <v>163</v>
      </c>
      <c r="AG33" s="43" t="s">
        <v>163</v>
      </c>
      <c r="AH33" s="44" t="s">
        <v>581</v>
      </c>
      <c r="AI33" s="45" t="s">
        <v>582</v>
      </c>
      <c r="AJ33" s="46" t="s">
        <v>163</v>
      </c>
      <c r="AK33" s="47" t="s">
        <v>581</v>
      </c>
      <c r="AL33" s="42" t="s">
        <v>163</v>
      </c>
      <c r="AM33" s="44" t="s">
        <v>163</v>
      </c>
      <c r="AN33" s="45" t="s">
        <v>163</v>
      </c>
      <c r="AO33" s="47" t="s">
        <v>163</v>
      </c>
      <c r="AP33" s="42" t="s">
        <v>163</v>
      </c>
      <c r="AQ33" s="43" t="s">
        <v>581</v>
      </c>
      <c r="AR33" s="44" t="s">
        <v>581</v>
      </c>
      <c r="AS33" s="45" t="s">
        <v>583</v>
      </c>
      <c r="AT33" s="46" t="s">
        <v>581</v>
      </c>
      <c r="AU33" s="47" t="s">
        <v>581</v>
      </c>
      <c r="AV33" s="42" t="s">
        <v>163</v>
      </c>
      <c r="AW33" s="43" t="s">
        <v>581</v>
      </c>
      <c r="AX33" s="44" t="s">
        <v>581</v>
      </c>
      <c r="AY33" s="45" t="s">
        <v>583</v>
      </c>
      <c r="AZ33" s="46" t="s">
        <v>163</v>
      </c>
      <c r="BA33" s="47" t="s">
        <v>581</v>
      </c>
      <c r="BB33" s="42" t="s">
        <v>581</v>
      </c>
      <c r="BC33" s="43" t="s">
        <v>581</v>
      </c>
      <c r="BD33" s="44" t="s">
        <v>581</v>
      </c>
      <c r="BE33" s="45" t="s">
        <v>581</v>
      </c>
      <c r="BF33" s="46" t="s">
        <v>581</v>
      </c>
      <c r="BG33" s="47" t="s">
        <v>581</v>
      </c>
    </row>
    <row r="34" spans="1:59">
      <c r="A34" s="31"/>
      <c r="B34" s="3"/>
      <c r="C34" s="4"/>
      <c r="D34" s="5"/>
      <c r="E34" s="6"/>
      <c r="F34" s="1"/>
      <c r="G34" s="7"/>
      <c r="H34" s="3"/>
      <c r="I34" s="4"/>
      <c r="J34" s="5"/>
      <c r="K34" s="6"/>
      <c r="L34" s="1"/>
      <c r="M34" s="7"/>
      <c r="N34" s="3"/>
      <c r="O34" s="4"/>
      <c r="P34" s="5"/>
      <c r="Q34" s="6"/>
      <c r="R34" s="1"/>
      <c r="S34" s="7"/>
      <c r="T34" s="3"/>
      <c r="U34" s="4"/>
      <c r="V34" s="5"/>
      <c r="W34" s="6"/>
      <c r="X34" s="1"/>
      <c r="Y34" s="7"/>
      <c r="Z34" s="3"/>
      <c r="AA34" s="4"/>
      <c r="AB34" s="5"/>
      <c r="AC34" s="6"/>
      <c r="AD34" s="1" t="s">
        <v>163</v>
      </c>
      <c r="AE34" s="7"/>
      <c r="AF34" s="3"/>
      <c r="AG34" s="4"/>
      <c r="AH34" s="5"/>
      <c r="AI34" s="6"/>
      <c r="AJ34" s="1"/>
      <c r="AK34" s="7"/>
      <c r="AL34" s="3"/>
      <c r="AM34" s="5"/>
      <c r="AN34" s="6"/>
      <c r="AO34" s="7"/>
      <c r="AP34" s="3"/>
      <c r="AQ34" s="4"/>
      <c r="AR34" s="5"/>
      <c r="AS34" s="6"/>
      <c r="AT34" s="1"/>
      <c r="AU34" s="7"/>
      <c r="AV34" s="3"/>
      <c r="AW34" s="4"/>
      <c r="AX34" s="5"/>
      <c r="AY34" s="6"/>
      <c r="AZ34" s="1"/>
      <c r="BA34" s="7"/>
      <c r="BB34" s="3"/>
      <c r="BC34" s="4"/>
      <c r="BD34" s="5"/>
      <c r="BE34" s="6"/>
      <c r="BF34" s="1"/>
      <c r="BG34" s="7"/>
    </row>
    <row r="36" spans="1:59">
      <c r="T36" s="2" t="s">
        <v>584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B00C7-C0A2-4E8A-A356-BA19916F16EE}">
  <dimension ref="A1:BG20"/>
  <sheetViews>
    <sheetView zoomScale="85" zoomScaleNormal="85" workbookViewId="0">
      <pane xSplit="1" topLeftCell="B1" activePane="topRight" state="frozen"/>
      <selection pane="topRight" activeCell="A19" sqref="A19"/>
    </sheetView>
  </sheetViews>
  <sheetFormatPr defaultColWidth="45" defaultRowHeight="15"/>
  <cols>
    <col min="1" max="1" width="19.7109375" style="29" customWidth="1"/>
    <col min="2" max="16384" width="45" style="2"/>
  </cols>
  <sheetData>
    <row r="1" spans="1:59" s="29" customFormat="1">
      <c r="A1" s="22" t="s">
        <v>0</v>
      </c>
      <c r="B1" s="23" t="s">
        <v>1</v>
      </c>
      <c r="C1" s="24" t="s">
        <v>2</v>
      </c>
      <c r="D1" s="25" t="s">
        <v>3</v>
      </c>
      <c r="E1" s="26" t="s">
        <v>4</v>
      </c>
      <c r="F1" s="27" t="s">
        <v>5</v>
      </c>
      <c r="G1" s="28" t="s">
        <v>6</v>
      </c>
      <c r="H1" s="23" t="s">
        <v>7</v>
      </c>
      <c r="I1" s="24" t="s">
        <v>8</v>
      </c>
      <c r="J1" s="25" t="s">
        <v>9</v>
      </c>
      <c r="K1" s="26" t="s">
        <v>10</v>
      </c>
      <c r="L1" s="27" t="s">
        <v>11</v>
      </c>
      <c r="M1" s="28" t="s">
        <v>12</v>
      </c>
      <c r="N1" s="23" t="s">
        <v>13</v>
      </c>
      <c r="O1" s="24" t="s">
        <v>14</v>
      </c>
      <c r="P1" s="25" t="s">
        <v>15</v>
      </c>
      <c r="Q1" s="26" t="s">
        <v>16</v>
      </c>
      <c r="R1" s="27" t="s">
        <v>17</v>
      </c>
      <c r="S1" s="28" t="s">
        <v>18</v>
      </c>
      <c r="T1" s="23" t="s">
        <v>19</v>
      </c>
      <c r="U1" s="24" t="s">
        <v>20</v>
      </c>
      <c r="V1" s="25" t="s">
        <v>21</v>
      </c>
      <c r="W1" s="26" t="s">
        <v>22</v>
      </c>
      <c r="X1" s="27" t="s">
        <v>23</v>
      </c>
      <c r="Y1" s="28" t="s">
        <v>24</v>
      </c>
      <c r="Z1" s="23" t="s">
        <v>25</v>
      </c>
      <c r="AA1" s="24" t="s">
        <v>26</v>
      </c>
      <c r="AB1" s="25" t="s">
        <v>27</v>
      </c>
      <c r="AC1" s="26" t="s">
        <v>28</v>
      </c>
      <c r="AD1" s="27" t="s">
        <v>29</v>
      </c>
      <c r="AE1" s="28" t="s">
        <v>30</v>
      </c>
      <c r="AF1" s="23" t="s">
        <v>31</v>
      </c>
      <c r="AG1" s="24" t="s">
        <v>32</v>
      </c>
      <c r="AH1" s="25" t="s">
        <v>33</v>
      </c>
      <c r="AI1" s="26" t="s">
        <v>34</v>
      </c>
      <c r="AJ1" s="27" t="s">
        <v>35</v>
      </c>
      <c r="AK1" s="28" t="s">
        <v>36</v>
      </c>
      <c r="AL1" s="23" t="s">
        <v>37</v>
      </c>
      <c r="AM1" s="25" t="s">
        <v>38</v>
      </c>
      <c r="AN1" s="26" t="s">
        <v>39</v>
      </c>
      <c r="AO1" s="28" t="s">
        <v>40</v>
      </c>
      <c r="AP1" s="23" t="s">
        <v>41</v>
      </c>
      <c r="AQ1" s="24" t="s">
        <v>42</v>
      </c>
      <c r="AR1" s="25" t="s">
        <v>43</v>
      </c>
      <c r="AS1" s="26" t="s">
        <v>44</v>
      </c>
      <c r="AT1" s="27" t="s">
        <v>45</v>
      </c>
      <c r="AU1" s="28" t="s">
        <v>46</v>
      </c>
      <c r="AV1" s="23" t="s">
        <v>47</v>
      </c>
      <c r="AW1" s="24" t="s">
        <v>48</v>
      </c>
      <c r="AX1" s="25" t="s">
        <v>49</v>
      </c>
      <c r="AY1" s="26" t="s">
        <v>50</v>
      </c>
      <c r="AZ1" s="27" t="s">
        <v>51</v>
      </c>
      <c r="BA1" s="28" t="s">
        <v>52</v>
      </c>
      <c r="BB1" s="23" t="s">
        <v>53</v>
      </c>
      <c r="BC1" s="24" t="s">
        <v>54</v>
      </c>
      <c r="BD1" s="25" t="s">
        <v>55</v>
      </c>
      <c r="BE1" s="26" t="s">
        <v>56</v>
      </c>
      <c r="BF1" s="27" t="s">
        <v>57</v>
      </c>
      <c r="BG1" s="28" t="s">
        <v>58</v>
      </c>
    </row>
    <row r="2" spans="1:59" hidden="1">
      <c r="A2" s="30" t="s">
        <v>59</v>
      </c>
      <c r="B2" s="3" t="s">
        <v>60</v>
      </c>
      <c r="C2" s="4" t="s">
        <v>60</v>
      </c>
      <c r="D2" s="5" t="s">
        <v>60</v>
      </c>
      <c r="E2" s="6" t="s">
        <v>60</v>
      </c>
      <c r="F2" s="1" t="s">
        <v>60</v>
      </c>
      <c r="G2" s="7" t="s">
        <v>60</v>
      </c>
      <c r="H2" s="3" t="s">
        <v>60</v>
      </c>
      <c r="I2" s="4" t="s">
        <v>60</v>
      </c>
      <c r="J2" s="5" t="s">
        <v>60</v>
      </c>
      <c r="K2" s="6" t="s">
        <v>60</v>
      </c>
      <c r="L2" s="1" t="s">
        <v>60</v>
      </c>
      <c r="M2" s="7" t="s">
        <v>60</v>
      </c>
      <c r="N2" s="3" t="s">
        <v>60</v>
      </c>
      <c r="O2" s="4" t="s">
        <v>60</v>
      </c>
      <c r="P2" s="5" t="s">
        <v>60</v>
      </c>
      <c r="Q2" s="6" t="s">
        <v>60</v>
      </c>
      <c r="R2" s="1" t="s">
        <v>60</v>
      </c>
      <c r="S2" s="7" t="s">
        <v>60</v>
      </c>
      <c r="T2" s="3" t="s">
        <v>60</v>
      </c>
      <c r="U2" s="4" t="s">
        <v>60</v>
      </c>
      <c r="V2" s="5" t="s">
        <v>60</v>
      </c>
      <c r="W2" s="6" t="s">
        <v>60</v>
      </c>
      <c r="X2" s="1" t="s">
        <v>60</v>
      </c>
      <c r="Y2" s="7" t="s">
        <v>60</v>
      </c>
      <c r="Z2" s="3" t="s">
        <v>60</v>
      </c>
      <c r="AA2" s="4" t="s">
        <v>60</v>
      </c>
      <c r="AB2" s="5" t="s">
        <v>60</v>
      </c>
      <c r="AC2" s="6" t="s">
        <v>60</v>
      </c>
      <c r="AD2" s="1" t="s">
        <v>60</v>
      </c>
      <c r="AE2" s="7" t="s">
        <v>60</v>
      </c>
      <c r="AF2" s="3" t="s">
        <v>60</v>
      </c>
      <c r="AG2" s="4" t="s">
        <v>60</v>
      </c>
      <c r="AH2" s="5" t="s">
        <v>60</v>
      </c>
      <c r="AI2" s="6" t="s">
        <v>60</v>
      </c>
      <c r="AJ2" s="1" t="s">
        <v>60</v>
      </c>
      <c r="AK2" s="7" t="s">
        <v>60</v>
      </c>
      <c r="AL2" s="3" t="s">
        <v>60</v>
      </c>
      <c r="AM2" s="5" t="s">
        <v>60</v>
      </c>
      <c r="AN2" s="6" t="s">
        <v>60</v>
      </c>
      <c r="AO2" s="7" t="s">
        <v>60</v>
      </c>
      <c r="AP2" s="3" t="s">
        <v>60</v>
      </c>
      <c r="AQ2" s="4" t="s">
        <v>60</v>
      </c>
      <c r="AR2" s="5" t="s">
        <v>60</v>
      </c>
      <c r="AS2" s="6" t="s">
        <v>60</v>
      </c>
      <c r="AT2" s="1" t="s">
        <v>60</v>
      </c>
      <c r="AU2" s="7" t="s">
        <v>60</v>
      </c>
      <c r="AV2" s="3" t="s">
        <v>60</v>
      </c>
      <c r="AW2" s="4" t="s">
        <v>60</v>
      </c>
      <c r="AX2" s="5" t="s">
        <v>60</v>
      </c>
      <c r="AY2" s="6" t="s">
        <v>60</v>
      </c>
      <c r="AZ2" s="1" t="s">
        <v>60</v>
      </c>
      <c r="BA2" s="7" t="s">
        <v>60</v>
      </c>
      <c r="BB2" s="3" t="s">
        <v>60</v>
      </c>
      <c r="BC2" s="4" t="s">
        <v>60</v>
      </c>
      <c r="BD2" s="5" t="s">
        <v>60</v>
      </c>
      <c r="BE2" s="6" t="s">
        <v>60</v>
      </c>
      <c r="BF2" s="1" t="s">
        <v>60</v>
      </c>
      <c r="BG2" s="7" t="s">
        <v>60</v>
      </c>
    </row>
    <row r="3" spans="1:59" hidden="1">
      <c r="A3" s="30" t="s">
        <v>61</v>
      </c>
      <c r="B3" s="8">
        <v>45888</v>
      </c>
      <c r="C3" s="9">
        <v>45888</v>
      </c>
      <c r="D3" s="10">
        <v>45888</v>
      </c>
      <c r="E3" s="11">
        <v>45889</v>
      </c>
      <c r="F3" s="12">
        <v>45889</v>
      </c>
      <c r="G3" s="13">
        <v>45889</v>
      </c>
      <c r="H3" s="8">
        <v>45889</v>
      </c>
      <c r="I3" s="9">
        <v>45889</v>
      </c>
      <c r="J3" s="10">
        <v>45889</v>
      </c>
      <c r="K3" s="11">
        <v>45889</v>
      </c>
      <c r="L3" s="12">
        <v>45889</v>
      </c>
      <c r="M3" s="13">
        <v>45889</v>
      </c>
      <c r="N3" s="8">
        <v>45889</v>
      </c>
      <c r="O3" s="9">
        <v>45889</v>
      </c>
      <c r="P3" s="10">
        <v>45889</v>
      </c>
      <c r="Q3" s="11">
        <v>45889</v>
      </c>
      <c r="R3" s="12">
        <v>45889</v>
      </c>
      <c r="S3" s="13">
        <v>45889</v>
      </c>
      <c r="T3" s="8">
        <v>45888</v>
      </c>
      <c r="U3" s="9">
        <v>45889</v>
      </c>
      <c r="V3" s="10">
        <v>45889</v>
      </c>
      <c r="W3" s="11">
        <v>45889</v>
      </c>
      <c r="X3" s="12">
        <v>45889</v>
      </c>
      <c r="Y3" s="13">
        <v>45889</v>
      </c>
      <c r="Z3" s="8">
        <v>45889</v>
      </c>
      <c r="AA3" s="9">
        <v>45889</v>
      </c>
      <c r="AB3" s="10">
        <v>45889</v>
      </c>
      <c r="AC3" s="11">
        <v>45891</v>
      </c>
      <c r="AD3" s="12">
        <v>45891</v>
      </c>
      <c r="AE3" s="13">
        <v>45891</v>
      </c>
      <c r="AF3" s="8">
        <v>45889</v>
      </c>
      <c r="AG3" s="9">
        <v>45889</v>
      </c>
      <c r="AH3" s="10">
        <v>45889</v>
      </c>
      <c r="AI3" s="11">
        <v>45889</v>
      </c>
      <c r="AJ3" s="12">
        <v>45889</v>
      </c>
      <c r="AK3" s="13">
        <v>45889</v>
      </c>
      <c r="AL3" s="8">
        <v>45892</v>
      </c>
      <c r="AM3" s="10">
        <v>45892</v>
      </c>
      <c r="AN3" s="11">
        <v>45888</v>
      </c>
      <c r="AO3" s="13">
        <v>45888</v>
      </c>
      <c r="AP3" s="8">
        <v>45891</v>
      </c>
      <c r="AQ3" s="9">
        <v>45891</v>
      </c>
      <c r="AR3" s="10">
        <v>45891</v>
      </c>
      <c r="AS3" s="11">
        <v>45889</v>
      </c>
      <c r="AT3" s="12">
        <v>45889</v>
      </c>
      <c r="AU3" s="13">
        <v>45889</v>
      </c>
      <c r="AV3" s="8">
        <v>45889</v>
      </c>
      <c r="AW3" s="9">
        <v>45889</v>
      </c>
      <c r="AX3" s="10">
        <v>45889</v>
      </c>
      <c r="AY3" s="11">
        <v>45889</v>
      </c>
      <c r="AZ3" s="12">
        <v>45889</v>
      </c>
      <c r="BA3" s="13">
        <v>45889</v>
      </c>
      <c r="BB3" s="8">
        <v>45888</v>
      </c>
      <c r="BC3" s="9">
        <v>45888</v>
      </c>
      <c r="BD3" s="10">
        <v>45888</v>
      </c>
      <c r="BE3" s="11">
        <v>45889</v>
      </c>
      <c r="BF3" s="12">
        <v>45889</v>
      </c>
      <c r="BG3" s="13">
        <v>45889</v>
      </c>
    </row>
    <row r="4" spans="1:59" hidden="1">
      <c r="A4" s="30" t="s">
        <v>62</v>
      </c>
      <c r="B4" s="3" t="s">
        <v>63</v>
      </c>
      <c r="C4" s="4" t="s">
        <v>63</v>
      </c>
      <c r="D4" s="5" t="s">
        <v>63</v>
      </c>
      <c r="E4" s="6" t="s">
        <v>63</v>
      </c>
      <c r="F4" s="1" t="s">
        <v>63</v>
      </c>
      <c r="G4" s="7" t="s">
        <v>63</v>
      </c>
      <c r="H4" s="3" t="s">
        <v>63</v>
      </c>
      <c r="I4" s="4" t="s">
        <v>63</v>
      </c>
      <c r="J4" s="5" t="s">
        <v>63</v>
      </c>
      <c r="K4" s="6" t="s">
        <v>63</v>
      </c>
      <c r="L4" s="1" t="s">
        <v>63</v>
      </c>
      <c r="M4" s="7" t="s">
        <v>63</v>
      </c>
      <c r="N4" s="3" t="s">
        <v>63</v>
      </c>
      <c r="O4" s="4" t="s">
        <v>63</v>
      </c>
      <c r="P4" s="5" t="s">
        <v>63</v>
      </c>
      <c r="Q4" s="6" t="s">
        <v>63</v>
      </c>
      <c r="R4" s="1" t="s">
        <v>63</v>
      </c>
      <c r="S4" s="7" t="s">
        <v>63</v>
      </c>
      <c r="T4" s="3" t="s">
        <v>63</v>
      </c>
      <c r="U4" s="4" t="s">
        <v>63</v>
      </c>
      <c r="V4" s="5" t="s">
        <v>63</v>
      </c>
      <c r="W4" s="6" t="s">
        <v>63</v>
      </c>
      <c r="X4" s="1" t="s">
        <v>63</v>
      </c>
      <c r="Y4" s="7" t="s">
        <v>63</v>
      </c>
      <c r="Z4" s="3" t="s">
        <v>63</v>
      </c>
      <c r="AA4" s="4" t="s">
        <v>63</v>
      </c>
      <c r="AB4" s="5" t="s">
        <v>63</v>
      </c>
      <c r="AC4" s="6" t="s">
        <v>63</v>
      </c>
      <c r="AD4" s="1" t="s">
        <v>63</v>
      </c>
      <c r="AE4" s="7" t="s">
        <v>63</v>
      </c>
      <c r="AF4" s="3" t="s">
        <v>63</v>
      </c>
      <c r="AG4" s="4" t="s">
        <v>63</v>
      </c>
      <c r="AH4" s="5" t="s">
        <v>63</v>
      </c>
      <c r="AI4" s="6" t="s">
        <v>63</v>
      </c>
      <c r="AJ4" s="1" t="s">
        <v>63</v>
      </c>
      <c r="AK4" s="7" t="s">
        <v>63</v>
      </c>
      <c r="AL4" s="3" t="s">
        <v>63</v>
      </c>
      <c r="AM4" s="5" t="s">
        <v>63</v>
      </c>
      <c r="AN4" s="6" t="s">
        <v>63</v>
      </c>
      <c r="AO4" s="7" t="s">
        <v>63</v>
      </c>
      <c r="AP4" s="3" t="s">
        <v>63</v>
      </c>
      <c r="AQ4" s="4" t="s">
        <v>63</v>
      </c>
      <c r="AR4" s="5" t="s">
        <v>63</v>
      </c>
      <c r="AS4" s="6" t="s">
        <v>63</v>
      </c>
      <c r="AT4" s="1" t="s">
        <v>63</v>
      </c>
      <c r="AU4" s="7" t="s">
        <v>63</v>
      </c>
      <c r="AV4" s="3" t="s">
        <v>63</v>
      </c>
      <c r="AW4" s="4" t="s">
        <v>63</v>
      </c>
      <c r="AX4" s="5" t="s">
        <v>63</v>
      </c>
      <c r="AY4" s="6" t="s">
        <v>63</v>
      </c>
      <c r="AZ4" s="1" t="s">
        <v>63</v>
      </c>
      <c r="BA4" s="7" t="s">
        <v>63</v>
      </c>
      <c r="BB4" s="3" t="s">
        <v>63</v>
      </c>
      <c r="BC4" s="4" t="s">
        <v>63</v>
      </c>
      <c r="BD4" s="5" t="s">
        <v>63</v>
      </c>
      <c r="BE4" s="6" t="s">
        <v>63</v>
      </c>
      <c r="BF4" s="1" t="s">
        <v>63</v>
      </c>
      <c r="BG4" s="7" t="s">
        <v>63</v>
      </c>
    </row>
    <row r="5" spans="1:59">
      <c r="A5" s="30" t="s">
        <v>64</v>
      </c>
      <c r="B5" s="3" t="s">
        <v>65</v>
      </c>
      <c r="C5" s="4" t="s">
        <v>65</v>
      </c>
      <c r="D5" s="5" t="s">
        <v>65</v>
      </c>
      <c r="E5" s="6" t="s">
        <v>66</v>
      </c>
      <c r="F5" s="1" t="s">
        <v>66</v>
      </c>
      <c r="G5" s="7" t="s">
        <v>66</v>
      </c>
      <c r="H5" s="3" t="s">
        <v>67</v>
      </c>
      <c r="I5" s="4" t="s">
        <v>67</v>
      </c>
      <c r="J5" s="5" t="s">
        <v>67</v>
      </c>
      <c r="K5" s="6" t="s">
        <v>68</v>
      </c>
      <c r="L5" s="1" t="s">
        <v>68</v>
      </c>
      <c r="M5" s="7" t="s">
        <v>68</v>
      </c>
      <c r="N5" s="3" t="s">
        <v>69</v>
      </c>
      <c r="O5" s="4" t="s">
        <v>69</v>
      </c>
      <c r="P5" s="5" t="s">
        <v>69</v>
      </c>
      <c r="Q5" s="6" t="s">
        <v>70</v>
      </c>
      <c r="R5" s="1" t="s">
        <v>70</v>
      </c>
      <c r="S5" s="7" t="s">
        <v>70</v>
      </c>
      <c r="T5" s="3" t="s">
        <v>67</v>
      </c>
      <c r="U5" s="4" t="s">
        <v>68</v>
      </c>
      <c r="V5" s="5" t="s">
        <v>69</v>
      </c>
      <c r="W5" s="6" t="s">
        <v>68</v>
      </c>
      <c r="X5" s="1" t="s">
        <v>69</v>
      </c>
      <c r="Y5" s="7" t="s">
        <v>70</v>
      </c>
      <c r="Z5" s="3" t="s">
        <v>66</v>
      </c>
      <c r="AA5" s="4" t="s">
        <v>66</v>
      </c>
      <c r="AB5" s="5" t="s">
        <v>66</v>
      </c>
      <c r="AC5" s="6" t="s">
        <v>71</v>
      </c>
      <c r="AD5" s="1" t="s">
        <v>71</v>
      </c>
      <c r="AE5" s="7" t="s">
        <v>71</v>
      </c>
      <c r="AF5" s="3" t="s">
        <v>72</v>
      </c>
      <c r="AG5" s="4" t="s">
        <v>72</v>
      </c>
      <c r="AH5" s="5" t="s">
        <v>72</v>
      </c>
      <c r="AI5" s="6" t="s">
        <v>73</v>
      </c>
      <c r="AJ5" s="1" t="s">
        <v>73</v>
      </c>
      <c r="AK5" s="7" t="s">
        <v>73</v>
      </c>
      <c r="AL5" s="3" t="s">
        <v>74</v>
      </c>
      <c r="AM5" s="5" t="s">
        <v>74</v>
      </c>
      <c r="AN5" s="6" t="s">
        <v>73</v>
      </c>
      <c r="AO5" s="7" t="s">
        <v>73</v>
      </c>
      <c r="AP5" s="3" t="s">
        <v>71</v>
      </c>
      <c r="AQ5" s="4" t="s">
        <v>71</v>
      </c>
      <c r="AR5" s="5" t="s">
        <v>71</v>
      </c>
      <c r="AS5" s="6" t="s">
        <v>70</v>
      </c>
      <c r="AT5" s="1" t="s">
        <v>70</v>
      </c>
      <c r="AU5" s="7" t="s">
        <v>70</v>
      </c>
      <c r="AV5" s="3" t="s">
        <v>69</v>
      </c>
      <c r="AW5" s="4" t="s">
        <v>69</v>
      </c>
      <c r="AX5" s="5" t="s">
        <v>69</v>
      </c>
      <c r="AY5" s="6" t="s">
        <v>68</v>
      </c>
      <c r="AZ5" s="1" t="s">
        <v>68</v>
      </c>
      <c r="BA5" s="7" t="s">
        <v>68</v>
      </c>
      <c r="BB5" s="3" t="s">
        <v>74</v>
      </c>
      <c r="BC5" s="4" t="s">
        <v>74</v>
      </c>
      <c r="BD5" s="5" t="s">
        <v>74</v>
      </c>
      <c r="BE5" s="6" t="s">
        <v>66</v>
      </c>
      <c r="BF5" s="1" t="s">
        <v>66</v>
      </c>
      <c r="BG5" s="7" t="s">
        <v>66</v>
      </c>
    </row>
    <row r="6" spans="1:59" hidden="1">
      <c r="A6" s="30" t="s">
        <v>75</v>
      </c>
      <c r="B6" s="3" t="s">
        <v>76</v>
      </c>
      <c r="C6" s="4" t="s">
        <v>76</v>
      </c>
      <c r="D6" s="5" t="s">
        <v>76</v>
      </c>
      <c r="E6" s="6" t="s">
        <v>77</v>
      </c>
      <c r="F6" s="1" t="s">
        <v>77</v>
      </c>
      <c r="G6" s="7" t="s">
        <v>77</v>
      </c>
      <c r="H6" s="3" t="s">
        <v>78</v>
      </c>
      <c r="I6" s="4" t="s">
        <v>78</v>
      </c>
      <c r="J6" s="5" t="s">
        <v>78</v>
      </c>
      <c r="K6" s="6" t="s">
        <v>79</v>
      </c>
      <c r="L6" s="1" t="s">
        <v>79</v>
      </c>
      <c r="M6" s="7" t="s">
        <v>79</v>
      </c>
      <c r="N6" s="3" t="s">
        <v>80</v>
      </c>
      <c r="O6" s="4" t="s">
        <v>80</v>
      </c>
      <c r="P6" s="5" t="s">
        <v>80</v>
      </c>
      <c r="Q6" s="6" t="s">
        <v>81</v>
      </c>
      <c r="R6" s="1" t="s">
        <v>81</v>
      </c>
      <c r="S6" s="7" t="s">
        <v>81</v>
      </c>
      <c r="T6" s="3" t="s">
        <v>78</v>
      </c>
      <c r="U6" s="4" t="s">
        <v>79</v>
      </c>
      <c r="V6" s="5" t="s">
        <v>80</v>
      </c>
      <c r="W6" s="6" t="s">
        <v>79</v>
      </c>
      <c r="X6" s="1" t="s">
        <v>80</v>
      </c>
      <c r="Y6" s="7" t="s">
        <v>81</v>
      </c>
      <c r="Z6" s="3" t="s">
        <v>77</v>
      </c>
      <c r="AA6" s="4" t="s">
        <v>77</v>
      </c>
      <c r="AB6" s="5" t="s">
        <v>77</v>
      </c>
      <c r="AC6" s="6" t="s">
        <v>82</v>
      </c>
      <c r="AD6" s="1" t="s">
        <v>82</v>
      </c>
      <c r="AE6" s="7" t="s">
        <v>82</v>
      </c>
      <c r="AF6" s="3" t="s">
        <v>83</v>
      </c>
      <c r="AG6" s="4" t="s">
        <v>83</v>
      </c>
      <c r="AH6" s="5" t="s">
        <v>83</v>
      </c>
      <c r="AI6" s="6" t="s">
        <v>84</v>
      </c>
      <c r="AJ6" s="1" t="s">
        <v>84</v>
      </c>
      <c r="AK6" s="7" t="s">
        <v>84</v>
      </c>
      <c r="AL6" s="3" t="s">
        <v>85</v>
      </c>
      <c r="AM6" s="5" t="s">
        <v>85</v>
      </c>
      <c r="AN6" s="6" t="s">
        <v>84</v>
      </c>
      <c r="AO6" s="7" t="s">
        <v>84</v>
      </c>
      <c r="AP6" s="3" t="s">
        <v>82</v>
      </c>
      <c r="AQ6" s="4" t="s">
        <v>82</v>
      </c>
      <c r="AR6" s="5" t="s">
        <v>82</v>
      </c>
      <c r="AS6" s="6" t="s">
        <v>81</v>
      </c>
      <c r="AT6" s="1" t="s">
        <v>81</v>
      </c>
      <c r="AU6" s="7" t="s">
        <v>81</v>
      </c>
      <c r="AV6" s="3" t="s">
        <v>80</v>
      </c>
      <c r="AW6" s="4" t="s">
        <v>80</v>
      </c>
      <c r="AX6" s="5" t="s">
        <v>80</v>
      </c>
      <c r="AY6" s="6" t="s">
        <v>79</v>
      </c>
      <c r="AZ6" s="1" t="s">
        <v>79</v>
      </c>
      <c r="BA6" s="7" t="s">
        <v>79</v>
      </c>
      <c r="BB6" s="3" t="s">
        <v>85</v>
      </c>
      <c r="BC6" s="4" t="s">
        <v>85</v>
      </c>
      <c r="BD6" s="5" t="s">
        <v>85</v>
      </c>
      <c r="BE6" s="6" t="s">
        <v>77</v>
      </c>
      <c r="BF6" s="1" t="s">
        <v>77</v>
      </c>
      <c r="BG6" s="7" t="s">
        <v>77</v>
      </c>
    </row>
    <row r="7" spans="1:59" hidden="1">
      <c r="A7" s="30" t="s">
        <v>86</v>
      </c>
      <c r="B7" s="3" t="s">
        <v>87</v>
      </c>
      <c r="C7" s="4" t="s">
        <v>87</v>
      </c>
      <c r="D7" s="5" t="s">
        <v>87</v>
      </c>
      <c r="E7" s="6" t="s">
        <v>88</v>
      </c>
      <c r="F7" s="1" t="s">
        <v>88</v>
      </c>
      <c r="G7" s="7" t="s">
        <v>88</v>
      </c>
      <c r="H7" s="3" t="s">
        <v>89</v>
      </c>
      <c r="I7" s="4" t="s">
        <v>89</v>
      </c>
      <c r="J7" s="5" t="s">
        <v>89</v>
      </c>
      <c r="K7" s="6" t="s">
        <v>90</v>
      </c>
      <c r="L7" s="1" t="s">
        <v>90</v>
      </c>
      <c r="M7" s="7" t="s">
        <v>90</v>
      </c>
      <c r="N7" s="3" t="s">
        <v>91</v>
      </c>
      <c r="O7" s="4" t="s">
        <v>91</v>
      </c>
      <c r="P7" s="5" t="s">
        <v>91</v>
      </c>
      <c r="Q7" s="6" t="s">
        <v>92</v>
      </c>
      <c r="R7" s="1" t="s">
        <v>92</v>
      </c>
      <c r="S7" s="7" t="s">
        <v>92</v>
      </c>
      <c r="T7" s="3" t="s">
        <v>89</v>
      </c>
      <c r="U7" s="4" t="s">
        <v>90</v>
      </c>
      <c r="V7" s="5" t="s">
        <v>91</v>
      </c>
      <c r="W7" s="6" t="s">
        <v>90</v>
      </c>
      <c r="X7" s="1" t="s">
        <v>91</v>
      </c>
      <c r="Y7" s="7" t="s">
        <v>92</v>
      </c>
      <c r="Z7" s="3" t="s">
        <v>88</v>
      </c>
      <c r="AA7" s="4" t="s">
        <v>88</v>
      </c>
      <c r="AB7" s="5" t="s">
        <v>88</v>
      </c>
      <c r="AC7" s="6" t="s">
        <v>93</v>
      </c>
      <c r="AD7" s="1" t="s">
        <v>93</v>
      </c>
      <c r="AE7" s="7" t="s">
        <v>93</v>
      </c>
      <c r="AF7" s="3" t="s">
        <v>94</v>
      </c>
      <c r="AG7" s="4" t="s">
        <v>94</v>
      </c>
      <c r="AH7" s="5" t="s">
        <v>94</v>
      </c>
      <c r="AI7" s="6" t="s">
        <v>95</v>
      </c>
      <c r="AJ7" s="1" t="s">
        <v>95</v>
      </c>
      <c r="AK7" s="7" t="s">
        <v>95</v>
      </c>
      <c r="AL7" s="3" t="s">
        <v>96</v>
      </c>
      <c r="AM7" s="5" t="s">
        <v>96</v>
      </c>
      <c r="AN7" s="6" t="s">
        <v>95</v>
      </c>
      <c r="AO7" s="7" t="s">
        <v>95</v>
      </c>
      <c r="AP7" s="3" t="s">
        <v>93</v>
      </c>
      <c r="AQ7" s="4" t="s">
        <v>93</v>
      </c>
      <c r="AR7" s="5" t="s">
        <v>93</v>
      </c>
      <c r="AS7" s="6" t="s">
        <v>92</v>
      </c>
      <c r="AT7" s="1" t="s">
        <v>92</v>
      </c>
      <c r="AU7" s="7" t="s">
        <v>92</v>
      </c>
      <c r="AV7" s="3" t="s">
        <v>91</v>
      </c>
      <c r="AW7" s="4" t="s">
        <v>91</v>
      </c>
      <c r="AX7" s="5" t="s">
        <v>91</v>
      </c>
      <c r="AY7" s="6" t="s">
        <v>90</v>
      </c>
      <c r="AZ7" s="1" t="s">
        <v>90</v>
      </c>
      <c r="BA7" s="7" t="s">
        <v>90</v>
      </c>
      <c r="BB7" s="3" t="s">
        <v>96</v>
      </c>
      <c r="BC7" s="4" t="s">
        <v>96</v>
      </c>
      <c r="BD7" s="5" t="s">
        <v>96</v>
      </c>
      <c r="BE7" s="6" t="s">
        <v>88</v>
      </c>
      <c r="BF7" s="1" t="s">
        <v>88</v>
      </c>
      <c r="BG7" s="7" t="s">
        <v>88</v>
      </c>
    </row>
    <row r="8" spans="1:59" hidden="1">
      <c r="A8" s="30" t="s">
        <v>97</v>
      </c>
      <c r="B8" s="3" t="s">
        <v>98</v>
      </c>
      <c r="C8" s="4" t="s">
        <v>98</v>
      </c>
      <c r="D8" s="5" t="s">
        <v>98</v>
      </c>
      <c r="E8" s="6" t="s">
        <v>99</v>
      </c>
      <c r="F8" s="1" t="s">
        <v>99</v>
      </c>
      <c r="G8" s="7" t="s">
        <v>99</v>
      </c>
      <c r="H8" s="3" t="s">
        <v>100</v>
      </c>
      <c r="I8" s="4" t="s">
        <v>100</v>
      </c>
      <c r="J8" s="5" t="s">
        <v>100</v>
      </c>
      <c r="K8" s="6" t="s">
        <v>101</v>
      </c>
      <c r="L8" s="1" t="s">
        <v>101</v>
      </c>
      <c r="M8" s="7" t="s">
        <v>101</v>
      </c>
      <c r="N8" s="3" t="s">
        <v>102</v>
      </c>
      <c r="O8" s="4" t="s">
        <v>102</v>
      </c>
      <c r="P8" s="5" t="s">
        <v>102</v>
      </c>
      <c r="Q8" s="6" t="s">
        <v>103</v>
      </c>
      <c r="R8" s="1" t="s">
        <v>103</v>
      </c>
      <c r="S8" s="7" t="s">
        <v>103</v>
      </c>
      <c r="T8" s="3" t="s">
        <v>100</v>
      </c>
      <c r="U8" s="4" t="s">
        <v>101</v>
      </c>
      <c r="V8" s="5" t="s">
        <v>102</v>
      </c>
      <c r="W8" s="6" t="s">
        <v>101</v>
      </c>
      <c r="X8" s="1" t="s">
        <v>102</v>
      </c>
      <c r="Y8" s="7" t="s">
        <v>103</v>
      </c>
      <c r="Z8" s="3" t="s">
        <v>99</v>
      </c>
      <c r="AA8" s="4" t="s">
        <v>99</v>
      </c>
      <c r="AB8" s="5" t="s">
        <v>99</v>
      </c>
      <c r="AC8" s="6" t="s">
        <v>104</v>
      </c>
      <c r="AD8" s="1" t="s">
        <v>104</v>
      </c>
      <c r="AE8" s="7" t="s">
        <v>104</v>
      </c>
      <c r="AF8" s="3" t="s">
        <v>105</v>
      </c>
      <c r="AG8" s="4" t="s">
        <v>105</v>
      </c>
      <c r="AH8" s="5" t="s">
        <v>105</v>
      </c>
      <c r="AI8" s="6" t="s">
        <v>106</v>
      </c>
      <c r="AJ8" s="1" t="s">
        <v>106</v>
      </c>
      <c r="AK8" s="7" t="s">
        <v>106</v>
      </c>
      <c r="AL8" s="3" t="s">
        <v>107</v>
      </c>
      <c r="AM8" s="5" t="s">
        <v>107</v>
      </c>
      <c r="AN8" s="6" t="s">
        <v>106</v>
      </c>
      <c r="AO8" s="7" t="s">
        <v>106</v>
      </c>
      <c r="AP8" s="3" t="s">
        <v>104</v>
      </c>
      <c r="AQ8" s="4" t="s">
        <v>104</v>
      </c>
      <c r="AR8" s="5" t="s">
        <v>104</v>
      </c>
      <c r="AS8" s="6" t="s">
        <v>103</v>
      </c>
      <c r="AT8" s="1" t="s">
        <v>103</v>
      </c>
      <c r="AU8" s="7" t="s">
        <v>103</v>
      </c>
      <c r="AV8" s="3" t="s">
        <v>102</v>
      </c>
      <c r="AW8" s="4" t="s">
        <v>102</v>
      </c>
      <c r="AX8" s="5" t="s">
        <v>102</v>
      </c>
      <c r="AY8" s="6" t="s">
        <v>101</v>
      </c>
      <c r="AZ8" s="1" t="s">
        <v>101</v>
      </c>
      <c r="BA8" s="7" t="s">
        <v>101</v>
      </c>
      <c r="BB8" s="3" t="s">
        <v>107</v>
      </c>
      <c r="BC8" s="4" t="s">
        <v>107</v>
      </c>
      <c r="BD8" s="5" t="s">
        <v>107</v>
      </c>
      <c r="BE8" s="6" t="s">
        <v>99</v>
      </c>
      <c r="BF8" s="1" t="s">
        <v>99</v>
      </c>
      <c r="BG8" s="7" t="s">
        <v>99</v>
      </c>
    </row>
    <row r="9" spans="1:59">
      <c r="A9" s="30" t="s">
        <v>108</v>
      </c>
      <c r="B9" s="3" t="s">
        <v>109</v>
      </c>
      <c r="C9" s="4" t="s">
        <v>109</v>
      </c>
      <c r="D9" s="5" t="s">
        <v>109</v>
      </c>
      <c r="E9" s="6" t="s">
        <v>110</v>
      </c>
      <c r="F9" s="1" t="s">
        <v>110</v>
      </c>
      <c r="G9" s="7" t="s">
        <v>110</v>
      </c>
      <c r="H9" s="3" t="s">
        <v>111</v>
      </c>
      <c r="I9" s="4" t="s">
        <v>111</v>
      </c>
      <c r="J9" s="5" t="s">
        <v>111</v>
      </c>
      <c r="K9" s="6" t="s">
        <v>112</v>
      </c>
      <c r="L9" s="1" t="s">
        <v>112</v>
      </c>
      <c r="M9" s="7" t="s">
        <v>112</v>
      </c>
      <c r="N9" s="3" t="s">
        <v>113</v>
      </c>
      <c r="O9" s="4" t="s">
        <v>113</v>
      </c>
      <c r="P9" s="5" t="s">
        <v>113</v>
      </c>
      <c r="Q9" s="6" t="s">
        <v>114</v>
      </c>
      <c r="R9" s="1" t="s">
        <v>114</v>
      </c>
      <c r="S9" s="7" t="s">
        <v>114</v>
      </c>
      <c r="T9" s="3" t="s">
        <v>115</v>
      </c>
      <c r="U9" s="4" t="s">
        <v>115</v>
      </c>
      <c r="V9" s="5" t="s">
        <v>115</v>
      </c>
      <c r="W9" s="6" t="s">
        <v>116</v>
      </c>
      <c r="X9" s="1" t="s">
        <v>116</v>
      </c>
      <c r="Y9" s="7" t="s">
        <v>116</v>
      </c>
      <c r="Z9" s="3" t="s">
        <v>117</v>
      </c>
      <c r="AA9" s="4" t="s">
        <v>117</v>
      </c>
      <c r="AB9" s="5" t="s">
        <v>117</v>
      </c>
      <c r="AC9" s="6" t="s">
        <v>118</v>
      </c>
      <c r="AD9" s="1" t="s">
        <v>118</v>
      </c>
      <c r="AE9" s="7" t="s">
        <v>118</v>
      </c>
      <c r="AF9" s="3" t="s">
        <v>119</v>
      </c>
      <c r="AG9" s="4" t="s">
        <v>119</v>
      </c>
      <c r="AH9" s="5" t="s">
        <v>119</v>
      </c>
      <c r="AI9" s="6" t="s">
        <v>120</v>
      </c>
      <c r="AJ9" s="1" t="s">
        <v>120</v>
      </c>
      <c r="AK9" s="7" t="s">
        <v>120</v>
      </c>
      <c r="AL9" s="3" t="s">
        <v>121</v>
      </c>
      <c r="AM9" s="5" t="s">
        <v>121</v>
      </c>
      <c r="AN9" s="6" t="s">
        <v>122</v>
      </c>
      <c r="AO9" s="7" t="s">
        <v>122</v>
      </c>
      <c r="AP9" s="3" t="s">
        <v>123</v>
      </c>
      <c r="AQ9" s="4" t="s">
        <v>123</v>
      </c>
      <c r="AR9" s="5" t="s">
        <v>123</v>
      </c>
      <c r="AS9" s="6" t="s">
        <v>124</v>
      </c>
      <c r="AT9" s="1" t="s">
        <v>124</v>
      </c>
      <c r="AU9" s="7" t="s">
        <v>124</v>
      </c>
      <c r="AV9" s="3" t="s">
        <v>125</v>
      </c>
      <c r="AW9" s="4" t="s">
        <v>125</v>
      </c>
      <c r="AX9" s="5" t="s">
        <v>125</v>
      </c>
      <c r="AY9" s="6" t="s">
        <v>126</v>
      </c>
      <c r="AZ9" s="1" t="s">
        <v>126</v>
      </c>
      <c r="BA9" s="7" t="s">
        <v>126</v>
      </c>
      <c r="BB9" s="3" t="s">
        <v>127</v>
      </c>
      <c r="BC9" s="4" t="s">
        <v>127</v>
      </c>
      <c r="BD9" s="5" t="s">
        <v>127</v>
      </c>
      <c r="BE9" s="6" t="s">
        <v>128</v>
      </c>
      <c r="BF9" s="1" t="s">
        <v>128</v>
      </c>
      <c r="BG9" s="7" t="s">
        <v>128</v>
      </c>
    </row>
    <row r="10" spans="1:59">
      <c r="A10" s="30" t="s">
        <v>129</v>
      </c>
      <c r="B10" s="3" t="s">
        <v>130</v>
      </c>
      <c r="C10" s="4" t="s">
        <v>130</v>
      </c>
      <c r="D10" s="5" t="s">
        <v>130</v>
      </c>
      <c r="E10" s="6" t="s">
        <v>131</v>
      </c>
      <c r="F10" s="1" t="s">
        <v>131</v>
      </c>
      <c r="G10" s="7" t="s">
        <v>131</v>
      </c>
      <c r="H10" s="3" t="s">
        <v>132</v>
      </c>
      <c r="I10" s="4" t="s">
        <v>132</v>
      </c>
      <c r="J10" s="5" t="s">
        <v>132</v>
      </c>
      <c r="K10" s="6" t="s">
        <v>133</v>
      </c>
      <c r="L10" s="1" t="s">
        <v>133</v>
      </c>
      <c r="M10" s="7" t="s">
        <v>133</v>
      </c>
      <c r="N10" s="3" t="s">
        <v>134</v>
      </c>
      <c r="O10" s="4" t="s">
        <v>134</v>
      </c>
      <c r="P10" s="5" t="s">
        <v>134</v>
      </c>
      <c r="Q10" s="6" t="s">
        <v>135</v>
      </c>
      <c r="R10" s="1" t="s">
        <v>135</v>
      </c>
      <c r="S10" s="7" t="s">
        <v>135</v>
      </c>
      <c r="T10" s="3" t="s">
        <v>136</v>
      </c>
      <c r="U10" s="4" t="s">
        <v>136</v>
      </c>
      <c r="V10" s="5" t="s">
        <v>136</v>
      </c>
      <c r="W10" s="6" t="s">
        <v>137</v>
      </c>
      <c r="X10" s="1" t="s">
        <v>137</v>
      </c>
      <c r="Y10" s="7" t="s">
        <v>137</v>
      </c>
      <c r="Z10" s="3" t="s">
        <v>138</v>
      </c>
      <c r="AA10" s="4" t="s">
        <v>138</v>
      </c>
      <c r="AB10" s="5" t="s">
        <v>138</v>
      </c>
      <c r="AC10" s="6" t="s">
        <v>139</v>
      </c>
      <c r="AD10" s="1" t="s">
        <v>139</v>
      </c>
      <c r="AE10" s="7" t="s">
        <v>139</v>
      </c>
      <c r="AF10" s="3" t="s">
        <v>140</v>
      </c>
      <c r="AG10" s="4" t="s">
        <v>140</v>
      </c>
      <c r="AH10" s="5" t="s">
        <v>140</v>
      </c>
      <c r="AI10" s="6" t="s">
        <v>141</v>
      </c>
      <c r="AJ10" s="1" t="s">
        <v>141</v>
      </c>
      <c r="AK10" s="7" t="s">
        <v>141</v>
      </c>
      <c r="AL10" s="3" t="s">
        <v>142</v>
      </c>
      <c r="AM10" s="5" t="s">
        <v>142</v>
      </c>
      <c r="AN10" s="6" t="s">
        <v>143</v>
      </c>
      <c r="AO10" s="7" t="s">
        <v>143</v>
      </c>
      <c r="AP10" s="3" t="s">
        <v>144</v>
      </c>
      <c r="AQ10" s="4" t="s">
        <v>144</v>
      </c>
      <c r="AR10" s="5" t="s">
        <v>144</v>
      </c>
      <c r="AS10" s="6" t="s">
        <v>145</v>
      </c>
      <c r="AT10" s="1" t="s">
        <v>145</v>
      </c>
      <c r="AU10" s="7" t="s">
        <v>145</v>
      </c>
      <c r="AV10" s="3" t="s">
        <v>146</v>
      </c>
      <c r="AW10" s="4" t="s">
        <v>146</v>
      </c>
      <c r="AX10" s="5" t="s">
        <v>146</v>
      </c>
      <c r="AY10" s="6" t="s">
        <v>147</v>
      </c>
      <c r="AZ10" s="1" t="s">
        <v>147</v>
      </c>
      <c r="BA10" s="7" t="s">
        <v>147</v>
      </c>
      <c r="BB10" s="3" t="s">
        <v>148</v>
      </c>
      <c r="BC10" s="4" t="s">
        <v>148</v>
      </c>
      <c r="BD10" s="5" t="s">
        <v>148</v>
      </c>
      <c r="BE10" s="6" t="s">
        <v>149</v>
      </c>
      <c r="BF10" s="1" t="s">
        <v>149</v>
      </c>
      <c r="BG10" s="7" t="s">
        <v>149</v>
      </c>
    </row>
    <row r="11" spans="1:59">
      <c r="A11" s="30" t="s">
        <v>150</v>
      </c>
      <c r="B11" s="3" t="s">
        <v>151</v>
      </c>
      <c r="C11" s="4" t="s">
        <v>152</v>
      </c>
      <c r="D11" s="5" t="s">
        <v>153</v>
      </c>
      <c r="E11" s="6" t="s">
        <v>151</v>
      </c>
      <c r="F11" s="1" t="s">
        <v>152</v>
      </c>
      <c r="G11" s="7" t="s">
        <v>153</v>
      </c>
      <c r="H11" s="3" t="s">
        <v>151</v>
      </c>
      <c r="I11" s="4" t="s">
        <v>152</v>
      </c>
      <c r="J11" s="5" t="s">
        <v>153</v>
      </c>
      <c r="K11" s="6" t="s">
        <v>151</v>
      </c>
      <c r="L11" s="1" t="s">
        <v>152</v>
      </c>
      <c r="M11" s="7" t="s">
        <v>153</v>
      </c>
      <c r="N11" s="3" t="s">
        <v>151</v>
      </c>
      <c r="O11" s="4" t="s">
        <v>152</v>
      </c>
      <c r="P11" s="5" t="s">
        <v>153</v>
      </c>
      <c r="Q11" s="6" t="s">
        <v>151</v>
      </c>
      <c r="R11" s="1" t="s">
        <v>152</v>
      </c>
      <c r="S11" s="7" t="s">
        <v>153</v>
      </c>
      <c r="T11" s="20" t="s">
        <v>153</v>
      </c>
      <c r="U11" s="4" t="s">
        <v>152</v>
      </c>
      <c r="V11" s="21" t="s">
        <v>151</v>
      </c>
      <c r="W11" s="6" t="s">
        <v>151</v>
      </c>
      <c r="X11" s="1" t="s">
        <v>152</v>
      </c>
      <c r="Y11" s="7" t="s">
        <v>153</v>
      </c>
      <c r="Z11" s="3" t="s">
        <v>151</v>
      </c>
      <c r="AA11" s="4" t="s">
        <v>152</v>
      </c>
      <c r="AB11" s="5" t="s">
        <v>153</v>
      </c>
      <c r="AC11" s="6" t="s">
        <v>151</v>
      </c>
      <c r="AD11" s="1" t="s">
        <v>152</v>
      </c>
      <c r="AE11" s="7" t="s">
        <v>153</v>
      </c>
      <c r="AF11" s="3" t="s">
        <v>151</v>
      </c>
      <c r="AG11" s="4" t="s">
        <v>152</v>
      </c>
      <c r="AH11" s="5" t="s">
        <v>153</v>
      </c>
      <c r="AI11" s="6" t="s">
        <v>151</v>
      </c>
      <c r="AJ11" s="1" t="s">
        <v>152</v>
      </c>
      <c r="AK11" s="7" t="s">
        <v>153</v>
      </c>
      <c r="AL11" s="3" t="s">
        <v>151</v>
      </c>
      <c r="AM11" s="5" t="s">
        <v>152</v>
      </c>
      <c r="AN11" s="6" t="s">
        <v>151</v>
      </c>
      <c r="AO11" s="7" t="s">
        <v>152</v>
      </c>
      <c r="AP11" s="3" t="s">
        <v>151</v>
      </c>
      <c r="AQ11" s="4" t="s">
        <v>152</v>
      </c>
      <c r="AR11" s="5" t="s">
        <v>153</v>
      </c>
      <c r="AS11" s="6" t="s">
        <v>151</v>
      </c>
      <c r="AT11" s="1" t="s">
        <v>152</v>
      </c>
      <c r="AU11" s="7" t="s">
        <v>153</v>
      </c>
      <c r="AV11" s="3" t="s">
        <v>151</v>
      </c>
      <c r="AW11" s="4" t="s">
        <v>152</v>
      </c>
      <c r="AX11" s="5" t="s">
        <v>153</v>
      </c>
      <c r="AY11" s="6" t="s">
        <v>151</v>
      </c>
      <c r="AZ11" s="1" t="s">
        <v>152</v>
      </c>
      <c r="BA11" s="7" t="s">
        <v>153</v>
      </c>
      <c r="BB11" s="3" t="s">
        <v>151</v>
      </c>
      <c r="BC11" s="4" t="s">
        <v>152</v>
      </c>
      <c r="BD11" s="5" t="s">
        <v>153</v>
      </c>
      <c r="BE11" s="6" t="s">
        <v>151</v>
      </c>
      <c r="BF11" s="1" t="s">
        <v>152</v>
      </c>
      <c r="BG11" s="7" t="s">
        <v>153</v>
      </c>
    </row>
    <row r="12" spans="1:59">
      <c r="A12" s="30" t="s">
        <v>154</v>
      </c>
      <c r="B12" s="3" t="s">
        <v>155</v>
      </c>
      <c r="C12" s="4" t="s">
        <v>155</v>
      </c>
      <c r="D12" s="5" t="s">
        <v>155</v>
      </c>
      <c r="E12" s="6" t="s">
        <v>155</v>
      </c>
      <c r="F12" s="1" t="s">
        <v>155</v>
      </c>
      <c r="G12" s="7" t="s">
        <v>155</v>
      </c>
      <c r="H12" s="3" t="s">
        <v>155</v>
      </c>
      <c r="I12" s="4" t="s">
        <v>155</v>
      </c>
      <c r="J12" s="5" t="s">
        <v>155</v>
      </c>
      <c r="K12" s="6" t="s">
        <v>155</v>
      </c>
      <c r="L12" s="1" t="s">
        <v>155</v>
      </c>
      <c r="M12" s="7" t="s">
        <v>155</v>
      </c>
      <c r="N12" s="3" t="s">
        <v>155</v>
      </c>
      <c r="O12" s="4" t="s">
        <v>155</v>
      </c>
      <c r="P12" s="5" t="s">
        <v>155</v>
      </c>
      <c r="Q12" s="6" t="s">
        <v>155</v>
      </c>
      <c r="R12" s="1" t="s">
        <v>155</v>
      </c>
      <c r="S12" s="7" t="s">
        <v>155</v>
      </c>
      <c r="T12" s="3" t="s">
        <v>155</v>
      </c>
      <c r="U12" s="4" t="s">
        <v>155</v>
      </c>
      <c r="V12" s="5" t="s">
        <v>155</v>
      </c>
      <c r="W12" s="6" t="s">
        <v>155</v>
      </c>
      <c r="X12" s="1" t="s">
        <v>155</v>
      </c>
      <c r="Y12" s="7" t="s">
        <v>155</v>
      </c>
      <c r="Z12" s="3" t="s">
        <v>155</v>
      </c>
      <c r="AA12" s="4" t="s">
        <v>155</v>
      </c>
      <c r="AB12" s="5" t="s">
        <v>156</v>
      </c>
      <c r="AC12" s="6" t="s">
        <v>155</v>
      </c>
      <c r="AD12" s="1" t="s">
        <v>155</v>
      </c>
      <c r="AE12" s="7" t="s">
        <v>156</v>
      </c>
      <c r="AF12" s="3" t="s">
        <v>155</v>
      </c>
      <c r="AG12" s="4" t="s">
        <v>155</v>
      </c>
      <c r="AH12" s="5" t="s">
        <v>156</v>
      </c>
      <c r="AI12" s="6" t="s">
        <v>155</v>
      </c>
      <c r="AJ12" s="1" t="s">
        <v>155</v>
      </c>
      <c r="AK12" s="7" t="s">
        <v>156</v>
      </c>
      <c r="AL12" s="3" t="s">
        <v>155</v>
      </c>
      <c r="AM12" s="5" t="s">
        <v>155</v>
      </c>
      <c r="AN12" s="6" t="s">
        <v>155</v>
      </c>
      <c r="AO12" s="7" t="s">
        <v>155</v>
      </c>
      <c r="AP12" s="3" t="s">
        <v>155</v>
      </c>
      <c r="AQ12" s="4" t="s">
        <v>156</v>
      </c>
      <c r="AR12" s="5" t="s">
        <v>156</v>
      </c>
      <c r="AS12" s="6" t="s">
        <v>155</v>
      </c>
      <c r="AT12" s="1" t="s">
        <v>156</v>
      </c>
      <c r="AU12" s="7" t="s">
        <v>156</v>
      </c>
      <c r="AV12" s="3" t="s">
        <v>155</v>
      </c>
      <c r="AW12" s="4" t="s">
        <v>156</v>
      </c>
      <c r="AX12" s="5" t="s">
        <v>156</v>
      </c>
      <c r="AY12" s="6" t="s">
        <v>155</v>
      </c>
      <c r="AZ12" s="1" t="s">
        <v>156</v>
      </c>
      <c r="BA12" s="7" t="s">
        <v>156</v>
      </c>
      <c r="BB12" s="3" t="s">
        <v>156</v>
      </c>
      <c r="BC12" s="4" t="s">
        <v>156</v>
      </c>
      <c r="BD12" s="5" t="s">
        <v>156</v>
      </c>
      <c r="BE12" s="6" t="s">
        <v>156</v>
      </c>
      <c r="BF12" s="1" t="s">
        <v>156</v>
      </c>
      <c r="BG12" s="7" t="s">
        <v>156</v>
      </c>
    </row>
    <row r="13" spans="1:59">
      <c r="A13" s="30" t="s">
        <v>157</v>
      </c>
      <c r="B13" s="3" t="s">
        <v>158</v>
      </c>
      <c r="C13" s="4" t="s">
        <v>158</v>
      </c>
      <c r="D13" s="5" t="s">
        <v>158</v>
      </c>
      <c r="E13" s="6" t="s">
        <v>158</v>
      </c>
      <c r="F13" s="1" t="s">
        <v>158</v>
      </c>
      <c r="G13" s="7" t="s">
        <v>158</v>
      </c>
      <c r="H13" s="3" t="s">
        <v>158</v>
      </c>
      <c r="I13" s="4" t="s">
        <v>158</v>
      </c>
      <c r="J13" s="5" t="s">
        <v>158</v>
      </c>
      <c r="K13" s="6" t="s">
        <v>158</v>
      </c>
      <c r="L13" s="1" t="s">
        <v>158</v>
      </c>
      <c r="M13" s="7" t="s">
        <v>158</v>
      </c>
      <c r="N13" s="3" t="s">
        <v>158</v>
      </c>
      <c r="O13" s="4" t="s">
        <v>158</v>
      </c>
      <c r="P13" s="5" t="s">
        <v>158</v>
      </c>
      <c r="Q13" s="6" t="s">
        <v>158</v>
      </c>
      <c r="R13" s="1" t="s">
        <v>158</v>
      </c>
      <c r="S13" s="7" t="s">
        <v>158</v>
      </c>
      <c r="T13" s="3" t="s">
        <v>158</v>
      </c>
      <c r="U13" s="4" t="s">
        <v>158</v>
      </c>
      <c r="V13" s="5" t="s">
        <v>158</v>
      </c>
      <c r="W13" s="6" t="s">
        <v>158</v>
      </c>
      <c r="X13" s="1" t="s">
        <v>158</v>
      </c>
      <c r="Y13" s="7" t="s">
        <v>158</v>
      </c>
      <c r="Z13" s="3" t="s">
        <v>158</v>
      </c>
      <c r="AA13" s="4" t="s">
        <v>158</v>
      </c>
      <c r="AB13" s="5">
        <v>0</v>
      </c>
      <c r="AC13" s="6" t="s">
        <v>158</v>
      </c>
      <c r="AD13" s="1" t="s">
        <v>158</v>
      </c>
      <c r="AE13" s="7">
        <v>0</v>
      </c>
      <c r="AF13" s="3" t="s">
        <v>158</v>
      </c>
      <c r="AG13" s="4" t="s">
        <v>158</v>
      </c>
      <c r="AH13" s="5">
        <v>0</v>
      </c>
      <c r="AI13" s="6" t="s">
        <v>158</v>
      </c>
      <c r="AJ13" s="1" t="s">
        <v>158</v>
      </c>
      <c r="AK13" s="7">
        <v>0</v>
      </c>
      <c r="AL13" s="3" t="s">
        <v>158</v>
      </c>
      <c r="AM13" s="5" t="s">
        <v>158</v>
      </c>
      <c r="AN13" s="6" t="s">
        <v>158</v>
      </c>
      <c r="AO13" s="7" t="s">
        <v>158</v>
      </c>
      <c r="AP13" s="3" t="s">
        <v>158</v>
      </c>
      <c r="AQ13" s="4">
        <v>0</v>
      </c>
      <c r="AR13" s="5">
        <v>0</v>
      </c>
      <c r="AS13" s="6" t="s">
        <v>158</v>
      </c>
      <c r="AT13" s="1">
        <v>0</v>
      </c>
      <c r="AU13" s="7">
        <v>0</v>
      </c>
      <c r="AV13" s="3" t="s">
        <v>158</v>
      </c>
      <c r="AW13" s="4">
        <v>0</v>
      </c>
      <c r="AX13" s="5">
        <v>0</v>
      </c>
      <c r="AY13" s="6" t="s">
        <v>158</v>
      </c>
      <c r="AZ13" s="1">
        <v>0</v>
      </c>
      <c r="BA13" s="7">
        <v>0</v>
      </c>
      <c r="BB13" s="3">
        <v>0</v>
      </c>
      <c r="BC13" s="4">
        <v>0</v>
      </c>
      <c r="BD13" s="5">
        <v>0</v>
      </c>
      <c r="BE13" s="6">
        <v>0</v>
      </c>
      <c r="BF13" s="1">
        <v>0</v>
      </c>
      <c r="BG13" s="7">
        <v>0</v>
      </c>
    </row>
    <row r="14" spans="1:59">
      <c r="A14" s="30" t="s">
        <v>159</v>
      </c>
      <c r="B14" s="3" t="s">
        <v>160</v>
      </c>
      <c r="C14" s="4" t="s">
        <v>161</v>
      </c>
      <c r="D14" s="5" t="s">
        <v>161</v>
      </c>
      <c r="E14" s="6" t="s">
        <v>161</v>
      </c>
      <c r="F14" s="1" t="s">
        <v>161</v>
      </c>
      <c r="G14" s="7" t="s">
        <v>161</v>
      </c>
      <c r="H14" s="3" t="s">
        <v>161</v>
      </c>
      <c r="I14" s="4" t="s">
        <v>161</v>
      </c>
      <c r="J14" s="5" t="s">
        <v>161</v>
      </c>
      <c r="K14" s="6" t="s">
        <v>161</v>
      </c>
      <c r="L14" s="1" t="s">
        <v>161</v>
      </c>
      <c r="M14" s="7" t="s">
        <v>161</v>
      </c>
      <c r="N14" s="3" t="s">
        <v>161</v>
      </c>
      <c r="O14" s="4" t="s">
        <v>161</v>
      </c>
      <c r="P14" s="5" t="s">
        <v>161</v>
      </c>
      <c r="Q14" s="6" t="s">
        <v>161</v>
      </c>
      <c r="R14" s="1" t="s">
        <v>161</v>
      </c>
      <c r="S14" s="7" t="s">
        <v>161</v>
      </c>
      <c r="T14" s="3" t="s">
        <v>161</v>
      </c>
      <c r="U14" s="4" t="s">
        <v>161</v>
      </c>
      <c r="V14" s="5" t="s">
        <v>161</v>
      </c>
      <c r="W14" s="6" t="s">
        <v>161</v>
      </c>
      <c r="X14" s="1" t="s">
        <v>161</v>
      </c>
      <c r="Y14" s="7" t="s">
        <v>161</v>
      </c>
      <c r="Z14" s="3" t="s">
        <v>161</v>
      </c>
      <c r="AA14" s="4" t="s">
        <v>161</v>
      </c>
      <c r="AB14" s="5" t="s">
        <v>161</v>
      </c>
      <c r="AC14" s="6" t="s">
        <v>161</v>
      </c>
      <c r="AD14" s="1" t="s">
        <v>161</v>
      </c>
      <c r="AE14" s="7" t="s">
        <v>161</v>
      </c>
      <c r="AF14" s="3" t="s">
        <v>161</v>
      </c>
      <c r="AG14" s="4" t="s">
        <v>161</v>
      </c>
      <c r="AH14" s="5" t="s">
        <v>161</v>
      </c>
      <c r="AI14" s="6" t="s">
        <v>161</v>
      </c>
      <c r="AJ14" s="1" t="s">
        <v>161</v>
      </c>
      <c r="AK14" s="7" t="s">
        <v>161</v>
      </c>
      <c r="AL14" s="3" t="s">
        <v>161</v>
      </c>
      <c r="AM14" s="5" t="s">
        <v>161</v>
      </c>
      <c r="AN14" s="6" t="s">
        <v>161</v>
      </c>
      <c r="AO14" s="7" t="s">
        <v>161</v>
      </c>
      <c r="AP14" s="3" t="s">
        <v>161</v>
      </c>
      <c r="AQ14" s="4" t="s">
        <v>161</v>
      </c>
      <c r="AR14" s="5" t="s">
        <v>161</v>
      </c>
      <c r="AS14" s="6" t="s">
        <v>161</v>
      </c>
      <c r="AT14" s="1" t="s">
        <v>161</v>
      </c>
      <c r="AU14" s="7" t="s">
        <v>161</v>
      </c>
      <c r="AV14" s="3" t="s">
        <v>161</v>
      </c>
      <c r="AW14" s="4" t="s">
        <v>161</v>
      </c>
      <c r="AX14" s="5" t="s">
        <v>161</v>
      </c>
      <c r="AY14" s="6" t="s">
        <v>161</v>
      </c>
      <c r="AZ14" s="1" t="s">
        <v>161</v>
      </c>
      <c r="BA14" s="7" t="s">
        <v>161</v>
      </c>
      <c r="BB14" s="3" t="s">
        <v>161</v>
      </c>
      <c r="BC14" s="4" t="s">
        <v>161</v>
      </c>
      <c r="BD14" s="5" t="s">
        <v>161</v>
      </c>
      <c r="BE14" s="6" t="s">
        <v>161</v>
      </c>
      <c r="BF14" s="1" t="s">
        <v>161</v>
      </c>
      <c r="BG14" s="7" t="s">
        <v>161</v>
      </c>
    </row>
    <row r="15" spans="1:59">
      <c r="A15" s="30" t="s">
        <v>585</v>
      </c>
      <c r="B15" s="3"/>
      <c r="C15" s="4"/>
      <c r="D15" s="5"/>
      <c r="E15" s="6"/>
      <c r="F15" s="1"/>
      <c r="G15" s="7"/>
      <c r="H15" s="3"/>
      <c r="I15" s="4"/>
      <c r="J15" s="5"/>
      <c r="K15" s="6"/>
      <c r="L15" s="1"/>
      <c r="M15" s="7"/>
      <c r="N15" s="3"/>
      <c r="O15" s="4"/>
      <c r="P15" s="5"/>
      <c r="Q15" s="6"/>
      <c r="R15" s="1"/>
      <c r="S15" s="7"/>
      <c r="T15" s="3"/>
      <c r="U15" s="4"/>
      <c r="V15" s="5"/>
      <c r="W15" s="6"/>
      <c r="X15" s="1"/>
      <c r="Y15" s="7"/>
      <c r="Z15" s="3"/>
      <c r="AA15" s="4"/>
      <c r="AB15" s="5"/>
      <c r="AC15" s="6"/>
      <c r="AD15" s="1"/>
      <c r="AE15" s="7"/>
      <c r="AF15" s="3"/>
      <c r="AG15" s="4"/>
      <c r="AH15" s="5"/>
      <c r="AI15" s="6"/>
      <c r="AJ15" s="1"/>
      <c r="AK15" s="7"/>
      <c r="AL15" s="3"/>
      <c r="AM15" s="5"/>
      <c r="AN15" s="6"/>
      <c r="AO15" s="7"/>
      <c r="AP15" s="3"/>
      <c r="AQ15" s="4"/>
      <c r="AR15" s="5"/>
      <c r="AS15" s="6"/>
      <c r="AT15" s="1"/>
      <c r="AU15" s="7"/>
      <c r="AV15" s="3"/>
      <c r="AW15" s="4"/>
      <c r="AX15" s="5"/>
      <c r="AY15" s="6"/>
      <c r="AZ15" s="1"/>
      <c r="BA15" s="7"/>
      <c r="BB15" s="3"/>
      <c r="BC15" s="4"/>
      <c r="BD15" s="5"/>
      <c r="BE15" s="6"/>
      <c r="BF15" s="1"/>
      <c r="BG15" s="7"/>
    </row>
    <row r="16" spans="1:59" s="52" customFormat="1">
      <c r="A16" s="31" t="s">
        <v>586</v>
      </c>
      <c r="B16" s="8">
        <v>45973</v>
      </c>
      <c r="C16" s="9">
        <v>45964</v>
      </c>
      <c r="D16" s="10">
        <v>45966</v>
      </c>
      <c r="E16" s="11">
        <v>45970</v>
      </c>
      <c r="F16" s="12">
        <v>45964</v>
      </c>
      <c r="G16" s="13">
        <v>45968</v>
      </c>
      <c r="H16" s="8">
        <v>45970</v>
      </c>
      <c r="I16" s="9">
        <v>45973</v>
      </c>
      <c r="J16" s="10">
        <v>45971</v>
      </c>
      <c r="K16" s="11">
        <v>45973</v>
      </c>
      <c r="L16" s="12">
        <v>45973</v>
      </c>
      <c r="M16" s="13">
        <v>45971</v>
      </c>
      <c r="N16" s="8">
        <v>45968</v>
      </c>
      <c r="O16" s="9">
        <v>41225</v>
      </c>
      <c r="P16" s="10">
        <v>45966</v>
      </c>
      <c r="Q16" s="11">
        <v>45970</v>
      </c>
      <c r="R16" s="12">
        <v>45947</v>
      </c>
      <c r="S16" s="13">
        <v>45966</v>
      </c>
      <c r="T16" s="8">
        <v>45966</v>
      </c>
      <c r="U16" s="9">
        <v>45966</v>
      </c>
      <c r="V16" s="10">
        <v>45964</v>
      </c>
      <c r="W16" s="11" t="s">
        <v>587</v>
      </c>
      <c r="X16" s="12">
        <v>45964</v>
      </c>
      <c r="Y16" s="13">
        <v>45971</v>
      </c>
      <c r="Z16" s="8">
        <v>45968</v>
      </c>
      <c r="AA16" s="9">
        <v>45966</v>
      </c>
      <c r="AB16" s="10">
        <v>45975</v>
      </c>
      <c r="AC16" s="11">
        <v>45973</v>
      </c>
      <c r="AD16" s="12">
        <v>45966</v>
      </c>
      <c r="AE16" s="13">
        <v>45975</v>
      </c>
      <c r="AF16" s="8">
        <v>45966</v>
      </c>
      <c r="AG16" s="9">
        <v>45968</v>
      </c>
      <c r="AH16" s="10">
        <v>45975</v>
      </c>
      <c r="AI16" s="11">
        <v>45975</v>
      </c>
      <c r="AJ16" s="12">
        <v>45973</v>
      </c>
      <c r="AK16" s="13">
        <v>45975</v>
      </c>
      <c r="AL16" s="8">
        <v>45966</v>
      </c>
      <c r="AM16" s="10">
        <v>45964</v>
      </c>
      <c r="AN16" s="11">
        <v>45965</v>
      </c>
      <c r="AO16" s="13">
        <v>45971</v>
      </c>
      <c r="AP16" s="8">
        <v>45968</v>
      </c>
      <c r="AQ16" s="9">
        <v>45975</v>
      </c>
      <c r="AR16" s="10">
        <v>45975</v>
      </c>
      <c r="AS16" s="11">
        <v>45975</v>
      </c>
      <c r="AT16" s="12">
        <v>45975</v>
      </c>
      <c r="AU16" s="13">
        <v>45975</v>
      </c>
      <c r="AV16" s="8">
        <v>45968</v>
      </c>
      <c r="AW16" s="9">
        <v>45975</v>
      </c>
      <c r="AX16" s="10">
        <v>45975</v>
      </c>
      <c r="AY16" s="11">
        <v>45975</v>
      </c>
      <c r="AZ16" s="12">
        <v>45947</v>
      </c>
      <c r="BA16" s="13">
        <v>45975</v>
      </c>
      <c r="BB16" s="8">
        <v>45975</v>
      </c>
      <c r="BC16" s="9">
        <v>45975</v>
      </c>
      <c r="BD16" s="10">
        <v>45975</v>
      </c>
      <c r="BE16" s="11">
        <v>45975</v>
      </c>
      <c r="BF16" s="12">
        <v>45975</v>
      </c>
      <c r="BG16" s="13">
        <v>45975</v>
      </c>
    </row>
    <row r="17" spans="1:59">
      <c r="A17" s="30" t="s">
        <v>588</v>
      </c>
      <c r="B17" s="3" t="s">
        <v>589</v>
      </c>
      <c r="C17" s="4" t="s">
        <v>590</v>
      </c>
      <c r="D17" s="5" t="s">
        <v>591</v>
      </c>
      <c r="E17" s="6" t="s">
        <v>592</v>
      </c>
      <c r="F17" s="1" t="s">
        <v>593</v>
      </c>
      <c r="G17" s="7" t="s">
        <v>594</v>
      </c>
      <c r="H17" s="3" t="s">
        <v>595</v>
      </c>
      <c r="I17" s="4" t="s">
        <v>596</v>
      </c>
      <c r="J17" s="5" t="s">
        <v>596</v>
      </c>
      <c r="K17" s="6" t="s">
        <v>596</v>
      </c>
      <c r="L17" s="1" t="s">
        <v>597</v>
      </c>
      <c r="M17" s="7" t="s">
        <v>596</v>
      </c>
      <c r="N17" s="3" t="s">
        <v>595</v>
      </c>
      <c r="O17" s="4" t="s">
        <v>598</v>
      </c>
      <c r="P17" s="5" t="s">
        <v>599</v>
      </c>
      <c r="Q17" s="6" t="s">
        <v>589</v>
      </c>
      <c r="R17" s="1" t="s">
        <v>600</v>
      </c>
      <c r="S17" s="7" t="s">
        <v>599</v>
      </c>
      <c r="T17" s="3" t="s">
        <v>599</v>
      </c>
      <c r="U17" s="4" t="s">
        <v>601</v>
      </c>
      <c r="V17" s="5" t="s">
        <v>602</v>
      </c>
      <c r="W17" s="6" t="s">
        <v>589</v>
      </c>
      <c r="X17" s="1" t="s">
        <v>590</v>
      </c>
      <c r="Y17" s="7" t="s">
        <v>590</v>
      </c>
      <c r="Z17" s="3" t="s">
        <v>590</v>
      </c>
      <c r="AA17" s="4" t="s">
        <v>603</v>
      </c>
      <c r="AB17" s="5" t="s">
        <v>604</v>
      </c>
      <c r="AC17" s="6" t="s">
        <v>605</v>
      </c>
      <c r="AD17" s="1" t="s">
        <v>601</v>
      </c>
      <c r="AE17" s="7" t="s">
        <v>604</v>
      </c>
      <c r="AF17" s="3" t="s">
        <v>601</v>
      </c>
      <c r="AG17" s="4" t="s">
        <v>606</v>
      </c>
      <c r="AH17" s="5" t="s">
        <v>604</v>
      </c>
      <c r="AI17" s="6" t="s">
        <v>607</v>
      </c>
      <c r="AJ17" s="1" t="s">
        <v>608</v>
      </c>
      <c r="AK17" s="7" t="s">
        <v>604</v>
      </c>
      <c r="AL17" s="3" t="s">
        <v>599</v>
      </c>
      <c r="AM17" s="5" t="s">
        <v>590</v>
      </c>
      <c r="AN17" s="6" t="s">
        <v>609</v>
      </c>
      <c r="AO17" s="7" t="s">
        <v>596</v>
      </c>
      <c r="AP17" s="3" t="s">
        <v>596</v>
      </c>
      <c r="AQ17" s="4" t="s">
        <v>604</v>
      </c>
      <c r="AR17" s="5" t="s">
        <v>604</v>
      </c>
      <c r="AS17" s="6" t="s">
        <v>610</v>
      </c>
      <c r="AT17" s="1" t="s">
        <v>604</v>
      </c>
      <c r="AU17" s="7" t="s">
        <v>604</v>
      </c>
      <c r="AV17" s="3" t="s">
        <v>596</v>
      </c>
      <c r="AW17" s="4" t="s">
        <v>604</v>
      </c>
      <c r="AX17" s="5" t="s">
        <v>604</v>
      </c>
      <c r="AY17" s="6" t="s">
        <v>610</v>
      </c>
      <c r="AZ17" s="1" t="s">
        <v>611</v>
      </c>
      <c r="BA17" s="7" t="s">
        <v>604</v>
      </c>
      <c r="BB17" s="3" t="s">
        <v>604</v>
      </c>
      <c r="BC17" s="4" t="s">
        <v>604</v>
      </c>
      <c r="BD17" s="5" t="s">
        <v>604</v>
      </c>
      <c r="BE17" s="6" t="s">
        <v>604</v>
      </c>
      <c r="BF17" s="1" t="s">
        <v>604</v>
      </c>
      <c r="BG17" s="7" t="s">
        <v>604</v>
      </c>
    </row>
    <row r="18" spans="1:59" s="48" customFormat="1" ht="63.95">
      <c r="A18" s="41" t="s">
        <v>206</v>
      </c>
      <c r="B18" s="42" t="s">
        <v>612</v>
      </c>
      <c r="C18" s="43" t="s">
        <v>613</v>
      </c>
      <c r="D18" s="44" t="s">
        <v>614</v>
      </c>
      <c r="E18" s="45" t="s">
        <v>615</v>
      </c>
      <c r="F18" s="46" t="s">
        <v>616</v>
      </c>
      <c r="G18" s="47" t="s">
        <v>617</v>
      </c>
      <c r="H18" s="42" t="s">
        <v>618</v>
      </c>
      <c r="I18" s="43" t="s">
        <v>619</v>
      </c>
      <c r="J18" s="44" t="s">
        <v>620</v>
      </c>
      <c r="K18" s="45" t="s">
        <v>621</v>
      </c>
      <c r="L18" s="46" t="s">
        <v>622</v>
      </c>
      <c r="M18" s="47" t="s">
        <v>623</v>
      </c>
      <c r="N18" s="42" t="s">
        <v>624</v>
      </c>
      <c r="O18" s="43" t="s">
        <v>625</v>
      </c>
      <c r="P18" s="44" t="s">
        <v>626</v>
      </c>
      <c r="Q18" s="45" t="s">
        <v>627</v>
      </c>
      <c r="R18" s="46" t="s">
        <v>228</v>
      </c>
      <c r="S18" s="47" t="s">
        <v>628</v>
      </c>
      <c r="T18" s="42" t="s">
        <v>629</v>
      </c>
      <c r="U18" s="43" t="s">
        <v>630</v>
      </c>
      <c r="V18" s="44" t="s">
        <v>631</v>
      </c>
      <c r="W18" s="45" t="s">
        <v>632</v>
      </c>
      <c r="X18" s="46" t="s">
        <v>633</v>
      </c>
      <c r="Y18" s="47" t="s">
        <v>634</v>
      </c>
      <c r="Z18" s="42" t="s">
        <v>635</v>
      </c>
      <c r="AA18" s="43" t="s">
        <v>636</v>
      </c>
      <c r="AB18" s="44" t="s">
        <v>637</v>
      </c>
      <c r="AC18" s="45" t="s">
        <v>638</v>
      </c>
      <c r="AD18" s="46" t="s">
        <v>639</v>
      </c>
      <c r="AE18" s="47" t="s">
        <v>637</v>
      </c>
      <c r="AF18" s="42" t="s">
        <v>640</v>
      </c>
      <c r="AG18" s="43" t="s">
        <v>641</v>
      </c>
      <c r="AH18" s="44" t="s">
        <v>637</v>
      </c>
      <c r="AI18" s="45" t="s">
        <v>642</v>
      </c>
      <c r="AJ18" s="46" t="s">
        <v>643</v>
      </c>
      <c r="AK18" s="47" t="s">
        <v>637</v>
      </c>
      <c r="AL18" s="42" t="s">
        <v>644</v>
      </c>
      <c r="AM18" s="44" t="s">
        <v>645</v>
      </c>
      <c r="AN18" s="45" t="s">
        <v>646</v>
      </c>
      <c r="AO18" s="47" t="s">
        <v>647</v>
      </c>
      <c r="AP18" s="42" t="s">
        <v>648</v>
      </c>
      <c r="AQ18" s="43" t="s">
        <v>637</v>
      </c>
      <c r="AR18" s="44" t="s">
        <v>637</v>
      </c>
      <c r="AS18" s="45" t="s">
        <v>649</v>
      </c>
      <c r="AT18" s="46" t="s">
        <v>637</v>
      </c>
      <c r="AU18" s="47" t="s">
        <v>637</v>
      </c>
      <c r="AV18" s="42" t="s">
        <v>650</v>
      </c>
      <c r="AW18" s="43" t="s">
        <v>637</v>
      </c>
      <c r="AX18" s="44" t="s">
        <v>637</v>
      </c>
      <c r="AY18" s="45" t="s">
        <v>651</v>
      </c>
      <c r="AZ18" s="46" t="s">
        <v>250</v>
      </c>
      <c r="BA18" s="47" t="s">
        <v>637</v>
      </c>
      <c r="BB18" s="42" t="s">
        <v>637</v>
      </c>
      <c r="BC18" s="43" t="s">
        <v>637</v>
      </c>
      <c r="BD18" s="44" t="s">
        <v>637</v>
      </c>
      <c r="BE18" s="45" t="s">
        <v>637</v>
      </c>
      <c r="BF18" s="46" t="s">
        <v>637</v>
      </c>
      <c r="BG18" s="47" t="s">
        <v>637</v>
      </c>
    </row>
    <row r="19" spans="1:59">
      <c r="A19" s="30" t="s">
        <v>652</v>
      </c>
      <c r="B19" s="3" t="s">
        <v>653</v>
      </c>
      <c r="C19" s="4" t="s">
        <v>654</v>
      </c>
      <c r="D19" s="5" t="s">
        <v>655</v>
      </c>
      <c r="E19" s="6" t="s">
        <v>656</v>
      </c>
      <c r="F19" s="1" t="s">
        <v>657</v>
      </c>
      <c r="G19" s="7" t="s">
        <v>658</v>
      </c>
      <c r="H19" s="3" t="s">
        <v>659</v>
      </c>
      <c r="I19" s="4" t="s">
        <v>660</v>
      </c>
      <c r="J19" s="5" t="s">
        <v>661</v>
      </c>
      <c r="K19" s="6" t="s">
        <v>662</v>
      </c>
      <c r="L19" s="1" t="s">
        <v>663</v>
      </c>
      <c r="M19" s="7" t="s">
        <v>664</v>
      </c>
      <c r="N19" s="3" t="s">
        <v>665</v>
      </c>
      <c r="O19" s="4" t="s">
        <v>663</v>
      </c>
      <c r="P19" s="5" t="s">
        <v>666</v>
      </c>
      <c r="Q19" s="6" t="s">
        <v>667</v>
      </c>
      <c r="R19" s="1" t="s">
        <v>163</v>
      </c>
      <c r="S19" s="7" t="s">
        <v>666</v>
      </c>
      <c r="T19" s="3" t="s">
        <v>668</v>
      </c>
      <c r="U19" s="4" t="s">
        <v>669</v>
      </c>
      <c r="V19" s="5" t="s">
        <v>670</v>
      </c>
      <c r="W19" s="6" t="s">
        <v>666</v>
      </c>
      <c r="X19" s="1" t="s">
        <v>671</v>
      </c>
      <c r="Y19" s="7" t="s">
        <v>660</v>
      </c>
      <c r="Z19" s="3" t="s">
        <v>672</v>
      </c>
      <c r="AA19" s="4" t="s">
        <v>673</v>
      </c>
      <c r="AB19" s="5" t="s">
        <v>163</v>
      </c>
      <c r="AC19" s="6" t="s">
        <v>674</v>
      </c>
      <c r="AD19" s="1" t="s">
        <v>667</v>
      </c>
      <c r="AE19" s="7" t="s">
        <v>163</v>
      </c>
      <c r="AF19" s="3" t="s">
        <v>675</v>
      </c>
      <c r="AG19" s="4" t="s">
        <v>676</v>
      </c>
      <c r="AH19" s="5" t="s">
        <v>163</v>
      </c>
      <c r="AI19" s="6" t="s">
        <v>656</v>
      </c>
      <c r="AJ19" s="1" t="s">
        <v>677</v>
      </c>
      <c r="AK19" s="7" t="s">
        <v>163</v>
      </c>
      <c r="AL19" s="3" t="s">
        <v>678</v>
      </c>
      <c r="AM19" s="5" t="s">
        <v>679</v>
      </c>
      <c r="AN19" s="6" t="s">
        <v>680</v>
      </c>
      <c r="AO19" s="7" t="s">
        <v>681</v>
      </c>
      <c r="AP19" s="3" t="s">
        <v>682</v>
      </c>
      <c r="AQ19" s="4" t="s">
        <v>163</v>
      </c>
      <c r="AR19" s="5" t="s">
        <v>163</v>
      </c>
      <c r="AS19" s="6" t="s">
        <v>683</v>
      </c>
      <c r="AT19" s="1" t="s">
        <v>163</v>
      </c>
      <c r="AU19" s="7" t="s">
        <v>163</v>
      </c>
      <c r="AV19" s="3" t="s">
        <v>684</v>
      </c>
      <c r="AW19" s="4" t="s">
        <v>163</v>
      </c>
      <c r="AX19" s="5" t="s">
        <v>163</v>
      </c>
      <c r="AY19" s="6" t="s">
        <v>685</v>
      </c>
      <c r="AZ19" s="1" t="s">
        <v>163</v>
      </c>
      <c r="BA19" s="7" t="s">
        <v>163</v>
      </c>
      <c r="BB19" s="3" t="s">
        <v>163</v>
      </c>
      <c r="BC19" s="4" t="s">
        <v>163</v>
      </c>
      <c r="BD19" s="5" t="s">
        <v>163</v>
      </c>
      <c r="BE19" s="6" t="s">
        <v>163</v>
      </c>
      <c r="BF19" s="1" t="s">
        <v>163</v>
      </c>
      <c r="BG19" s="7" t="s">
        <v>163</v>
      </c>
    </row>
    <row r="20" spans="1:59">
      <c r="A20" s="30" t="s">
        <v>686</v>
      </c>
      <c r="B20" s="3" t="s">
        <v>163</v>
      </c>
      <c r="C20" s="4" t="s">
        <v>163</v>
      </c>
      <c r="D20" s="5" t="s">
        <v>687</v>
      </c>
      <c r="E20" s="6" t="s">
        <v>163</v>
      </c>
      <c r="F20" s="1" t="s">
        <v>163</v>
      </c>
      <c r="G20" s="7" t="s">
        <v>163</v>
      </c>
      <c r="H20" s="3" t="s">
        <v>163</v>
      </c>
      <c r="I20" s="4" t="s">
        <v>163</v>
      </c>
      <c r="J20" s="5" t="s">
        <v>163</v>
      </c>
      <c r="K20" s="6" t="s">
        <v>163</v>
      </c>
      <c r="L20" s="1" t="s">
        <v>163</v>
      </c>
      <c r="M20" s="7" t="s">
        <v>163</v>
      </c>
      <c r="N20" s="3" t="s">
        <v>688</v>
      </c>
      <c r="O20" s="4" t="s">
        <v>163</v>
      </c>
      <c r="P20" s="5" t="s">
        <v>163</v>
      </c>
      <c r="Q20" s="6" t="s">
        <v>163</v>
      </c>
      <c r="R20" s="1" t="s">
        <v>163</v>
      </c>
      <c r="S20" s="7" t="s">
        <v>163</v>
      </c>
      <c r="T20" s="3" t="s">
        <v>163</v>
      </c>
      <c r="U20" s="4" t="s">
        <v>163</v>
      </c>
      <c r="V20" s="5" t="s">
        <v>163</v>
      </c>
      <c r="W20" s="6" t="s">
        <v>163</v>
      </c>
      <c r="X20" s="1" t="s">
        <v>163</v>
      </c>
      <c r="Y20" s="7" t="s">
        <v>163</v>
      </c>
      <c r="Z20" s="3" t="s">
        <v>163</v>
      </c>
      <c r="AA20" s="4" t="s">
        <v>163</v>
      </c>
      <c r="AB20" s="5" t="s">
        <v>163</v>
      </c>
      <c r="AC20" s="6" t="s">
        <v>163</v>
      </c>
      <c r="AD20" s="1" t="s">
        <v>163</v>
      </c>
      <c r="AE20" s="7" t="s">
        <v>163</v>
      </c>
      <c r="AF20" s="3" t="s">
        <v>163</v>
      </c>
      <c r="AG20" s="4" t="s">
        <v>163</v>
      </c>
      <c r="AH20" s="5" t="s">
        <v>163</v>
      </c>
      <c r="AI20" s="6" t="s">
        <v>163</v>
      </c>
      <c r="AJ20" s="1" t="s">
        <v>163</v>
      </c>
      <c r="AK20" s="7" t="s">
        <v>163</v>
      </c>
      <c r="AL20" s="3" t="s">
        <v>163</v>
      </c>
      <c r="AM20" s="5" t="s">
        <v>163</v>
      </c>
      <c r="AN20" s="6" t="s">
        <v>163</v>
      </c>
      <c r="AO20" s="7" t="s">
        <v>163</v>
      </c>
      <c r="AP20" s="3" t="s">
        <v>163</v>
      </c>
      <c r="AQ20" s="4" t="s">
        <v>163</v>
      </c>
      <c r="AR20" s="5" t="s">
        <v>163</v>
      </c>
      <c r="AS20" s="6" t="s">
        <v>163</v>
      </c>
      <c r="AT20" s="1" t="s">
        <v>163</v>
      </c>
      <c r="AU20" s="7" t="s">
        <v>163</v>
      </c>
      <c r="AV20" s="3" t="s">
        <v>689</v>
      </c>
      <c r="AW20" s="4" t="s">
        <v>163</v>
      </c>
      <c r="AX20" s="5" t="s">
        <v>163</v>
      </c>
      <c r="AY20" s="6" t="s">
        <v>163</v>
      </c>
      <c r="AZ20" s="1" t="s">
        <v>163</v>
      </c>
      <c r="BA20" s="7" t="s">
        <v>163</v>
      </c>
      <c r="BB20" s="3" t="s">
        <v>163</v>
      </c>
      <c r="BC20" s="4" t="s">
        <v>163</v>
      </c>
      <c r="BD20" s="5" t="s">
        <v>163</v>
      </c>
      <c r="BE20" s="6" t="s">
        <v>163</v>
      </c>
      <c r="BF20" s="1" t="s">
        <v>163</v>
      </c>
      <c r="BG20" s="7" t="s">
        <v>163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Warner</dc:creator>
  <cp:keywords/>
  <dc:description/>
  <cp:lastModifiedBy>Vivek Kumar</cp:lastModifiedBy>
  <cp:revision/>
  <dcterms:created xsi:type="dcterms:W3CDTF">2015-06-05T18:17:20Z</dcterms:created>
  <dcterms:modified xsi:type="dcterms:W3CDTF">2026-01-30T18:57:57Z</dcterms:modified>
  <cp:category/>
  <cp:contentStatus/>
</cp:coreProperties>
</file>