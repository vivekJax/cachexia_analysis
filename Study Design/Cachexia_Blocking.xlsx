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jacksonlaboratory-my.sharepoint.com/personal/madison_raza_jax_org/Documents/Envision_Study_Documents/JMCRS_Envision/healthPanel/Cachexia/Study Design/"/>
    </mc:Choice>
  </mc:AlternateContent>
  <xr:revisionPtr revIDLastSave="237" documentId="8_{84611AB9-0BF2-47A9-8338-80256C4C250B}" xr6:coauthVersionLast="47" xr6:coauthVersionMax="47" xr10:uidLastSave="{75189C1A-493A-44FD-90C5-A13D52B58045}"/>
  <bookViews>
    <workbookView xWindow="19095" yWindow="0" windowWidth="19410" windowHeight="105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A4" i="1" l="1"/>
  <c r="A5" i="1" s="1"/>
  <c r="A6" i="1" s="1"/>
  <c r="A7" i="1" s="1"/>
  <c r="A8" i="1" s="1"/>
</calcChain>
</file>

<file path=xl/sharedStrings.xml><?xml version="1.0" encoding="utf-8"?>
<sst xmlns="http://schemas.openxmlformats.org/spreadsheetml/2006/main" count="109" uniqueCount="49">
  <si>
    <t>Discovery Rack 75</t>
  </si>
  <si>
    <t>A</t>
  </si>
  <si>
    <t>B</t>
  </si>
  <si>
    <t>C</t>
  </si>
  <si>
    <t>D</t>
  </si>
  <si>
    <t>E</t>
  </si>
  <si>
    <t>F</t>
  </si>
  <si>
    <t>G</t>
  </si>
  <si>
    <t>H</t>
  </si>
  <si>
    <t>Conditions</t>
  </si>
  <si>
    <t>Definition</t>
  </si>
  <si>
    <t>m</t>
  </si>
  <si>
    <t>male</t>
  </si>
  <si>
    <t>CT-26 Mixed 2:1</t>
  </si>
  <si>
    <t>Cage N</t>
  </si>
  <si>
    <t>CT-26 Uniform 2:0</t>
  </si>
  <si>
    <t>CT-26 Uniform 3:0</t>
  </si>
  <si>
    <t>Cachexia Blocking</t>
  </si>
  <si>
    <t>a</t>
  </si>
  <si>
    <t>b</t>
  </si>
  <si>
    <t>c</t>
  </si>
  <si>
    <t>d</t>
  </si>
  <si>
    <t>e</t>
  </si>
  <si>
    <t>CT-26 Mixed 1:2</t>
  </si>
  <si>
    <t>Vehicle Uniform 3:0</t>
  </si>
  <si>
    <t>Column</t>
  </si>
  <si>
    <t>Row</t>
  </si>
  <si>
    <t>Housing ID</t>
  </si>
  <si>
    <t>Treatment</t>
  </si>
  <si>
    <t>H-CD2F1-01</t>
  </si>
  <si>
    <t>H-CD2F1-02</t>
  </si>
  <si>
    <t>H-CD2F1-03</t>
  </si>
  <si>
    <t>H-CD2F1-04</t>
  </si>
  <si>
    <t>H-CD2F1-05</t>
  </si>
  <si>
    <t>H-CD2F1-06</t>
  </si>
  <si>
    <t>H-CD2F1-07</t>
  </si>
  <si>
    <t>H-CD2F1-08</t>
  </si>
  <si>
    <t>H-CD2F1-09</t>
  </si>
  <si>
    <t>H-CD2F1-10</t>
  </si>
  <si>
    <t>H-CD2F1-11</t>
  </si>
  <si>
    <t>H-CD2F1-12</t>
  </si>
  <si>
    <t>H-CD2F1-13</t>
  </si>
  <si>
    <t>H-CD2F1-14</t>
  </si>
  <si>
    <t>H-CD2F1-15</t>
  </si>
  <si>
    <t>H-CD2F1-16</t>
  </si>
  <si>
    <t>H-CD2F1-17</t>
  </si>
  <si>
    <t>H-CD2F1-18</t>
  </si>
  <si>
    <t>H-CD2F1-19</t>
  </si>
  <si>
    <t>H-CD2F1-20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</si>
</sst>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E49E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10" borderId="0" xfId="0" applyFill="1"/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9" borderId="5" xfId="0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1" fillId="10" borderId="5" xfId="0" applyFont="1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6" borderId="9" xfId="0" applyFill="1" applyBorder="1" applyAlignment="1">
      <alignment horizontal="center"/>
    </xf>
    <xf numFmtId="0" fontId="1" fillId="6" borderId="6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</dxfs>
  <tableStyles count="0" defaultTableStyle="TableStyleMedium2" defaultPivotStyle="PivotStyleMedium9"/>
  <colors>
    <mruColors>
      <color rgb="FFDAE9F8"/>
      <color rgb="FFDAF2D0"/>
      <color rgb="FFFBE2D5"/>
      <color rgb="FFE49E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3EDCCF-056D-4831-B610-53BBE8C6A673}" name="Table1" displayName="Table1" ref="K1:N21" totalsRowShown="0">
  <autoFilter ref="K1:N21" xr:uid="{E03EDCCF-056D-4831-B610-53BBE8C6A673}"/>
  <sortState xmlns:xlrd2="http://schemas.microsoft.com/office/spreadsheetml/2017/richdata2" ref="K2:N21">
    <sortCondition ref="N1:N21"/>
  </sortState>
  <tableColumns count="4">
    <tableColumn id="1" xr3:uid="{1F4DDD01-8F10-41BB-943E-BFB18AE71865}" name="Treatment"/>
    <tableColumn id="2" xr3:uid="{57D360EF-DEB1-4895-B35D-AC7EAF4110E8}" name="Column"/>
    <tableColumn id="3" xr3:uid="{933EF7E1-64C0-4F7A-A993-8A89D6F32C0E}" name="Row" dataDxfId="5"/>
    <tableColumn id="4" xr3:uid="{0543EF12-87A2-4B20-B609-3A496B910519}" name="Housing 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N3" sqref="N3"/>
    </sheetView>
  </sheetViews>
  <sheetFormatPr defaultRowHeight="15" x14ac:dyDescent="0.25"/>
  <cols>
    <col min="3" max="3" width="18.28515625" bestFit="1" customWidth="1"/>
    <col min="11" max="12" width="18.28515625" bestFit="1" customWidth="1"/>
    <col min="14" max="14" width="12.85546875" bestFit="1" customWidth="1"/>
    <col min="15" max="15" width="18.28515625" bestFit="1" customWidth="1"/>
    <col min="16" max="16" width="10.28515625" customWidth="1"/>
    <col min="18" max="18" width="13" customWidth="1"/>
    <col min="19" max="19" width="10.42578125" bestFit="1" customWidth="1"/>
  </cols>
  <sheetData>
    <row r="1" spans="1:14" x14ac:dyDescent="0.25">
      <c r="B1" s="37" t="s">
        <v>0</v>
      </c>
      <c r="C1" s="37"/>
      <c r="D1" s="37" t="s">
        <v>17</v>
      </c>
      <c r="E1" s="37"/>
      <c r="K1" t="s">
        <v>28</v>
      </c>
      <c r="L1" t="s">
        <v>25</v>
      </c>
      <c r="M1" t="s">
        <v>26</v>
      </c>
      <c r="N1" t="s">
        <v>27</v>
      </c>
    </row>
    <row r="2" spans="1:14" ht="15.75" thickBot="1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K2" t="s">
        <v>16</v>
      </c>
      <c r="L2" t="s">
        <v>4</v>
      </c>
      <c r="M2">
        <v>2</v>
      </c>
      <c r="N2" t="s">
        <v>29</v>
      </c>
    </row>
    <row r="3" spans="1:14" x14ac:dyDescent="0.25">
      <c r="A3">
        <v>1</v>
      </c>
      <c r="B3" s="12"/>
      <c r="C3" s="13"/>
      <c r="D3" s="13"/>
      <c r="E3" s="34"/>
      <c r="F3" s="13"/>
      <c r="G3" s="13"/>
      <c r="H3" s="13"/>
      <c r="I3" s="16"/>
      <c r="K3" t="s">
        <v>16</v>
      </c>
      <c r="L3" t="s">
        <v>3</v>
      </c>
      <c r="M3">
        <v>3</v>
      </c>
      <c r="N3" t="s">
        <v>30</v>
      </c>
    </row>
    <row r="4" spans="1:14" x14ac:dyDescent="0.25">
      <c r="A4">
        <f>A3+1</f>
        <v>2</v>
      </c>
      <c r="B4" s="14"/>
      <c r="C4" s="15"/>
      <c r="D4" s="15"/>
      <c r="E4" s="35" t="s">
        <v>18</v>
      </c>
      <c r="F4" s="15"/>
      <c r="G4" s="15"/>
      <c r="H4" s="15"/>
      <c r="I4" s="17"/>
      <c r="K4" t="s">
        <v>16</v>
      </c>
      <c r="L4" t="s">
        <v>5</v>
      </c>
      <c r="M4" s="36">
        <v>3</v>
      </c>
      <c r="N4" t="s">
        <v>31</v>
      </c>
    </row>
    <row r="5" spans="1:14" x14ac:dyDescent="0.25">
      <c r="A5">
        <f t="shared" ref="A5:A8" si="0">A4+1</f>
        <v>3</v>
      </c>
      <c r="B5" s="22" t="s">
        <v>20</v>
      </c>
      <c r="C5" s="10" t="s">
        <v>19</v>
      </c>
      <c r="D5" s="29" t="s">
        <v>18</v>
      </c>
      <c r="E5" s="28" t="s">
        <v>22</v>
      </c>
      <c r="F5" s="29" t="s">
        <v>18</v>
      </c>
      <c r="G5" s="24" t="s">
        <v>20</v>
      </c>
      <c r="H5" s="2"/>
      <c r="I5" s="3"/>
      <c r="K5" t="s">
        <v>16</v>
      </c>
      <c r="L5" t="s">
        <v>4</v>
      </c>
      <c r="M5" s="36">
        <v>4</v>
      </c>
      <c r="N5" t="s">
        <v>32</v>
      </c>
    </row>
    <row r="6" spans="1:14" x14ac:dyDescent="0.25">
      <c r="A6">
        <f t="shared" si="0"/>
        <v>4</v>
      </c>
      <c r="B6" s="32" t="s">
        <v>21</v>
      </c>
      <c r="C6" s="23" t="s">
        <v>20</v>
      </c>
      <c r="D6" s="10" t="s">
        <v>19</v>
      </c>
      <c r="E6" s="9" t="s">
        <v>18</v>
      </c>
      <c r="F6" s="15"/>
      <c r="G6" s="9" t="s">
        <v>18</v>
      </c>
      <c r="H6" s="15"/>
      <c r="I6" s="17"/>
      <c r="K6" t="s">
        <v>16</v>
      </c>
      <c r="L6" t="s">
        <v>6</v>
      </c>
      <c r="M6" s="36">
        <v>4</v>
      </c>
      <c r="N6" t="s">
        <v>33</v>
      </c>
    </row>
    <row r="7" spans="1:14" x14ac:dyDescent="0.25">
      <c r="A7">
        <f t="shared" si="0"/>
        <v>5</v>
      </c>
      <c r="B7" s="27" t="s">
        <v>22</v>
      </c>
      <c r="C7" s="33" t="s">
        <v>21</v>
      </c>
      <c r="D7" s="23" t="s">
        <v>20</v>
      </c>
      <c r="E7" s="25" t="s">
        <v>19</v>
      </c>
      <c r="F7" s="31" t="s">
        <v>18</v>
      </c>
      <c r="H7" s="9" t="s">
        <v>18</v>
      </c>
      <c r="I7" s="3"/>
      <c r="K7" t="s">
        <v>16</v>
      </c>
      <c r="L7" t="s">
        <v>5</v>
      </c>
      <c r="M7" s="36">
        <v>5</v>
      </c>
      <c r="N7" t="s">
        <v>34</v>
      </c>
    </row>
    <row r="8" spans="1:14" ht="15.75" thickBot="1" x14ac:dyDescent="0.3">
      <c r="A8">
        <f t="shared" si="0"/>
        <v>6</v>
      </c>
      <c r="B8" s="18"/>
      <c r="C8" s="19"/>
      <c r="D8" s="20"/>
      <c r="E8" s="19"/>
      <c r="F8" s="26" t="s">
        <v>19</v>
      </c>
      <c r="G8" s="30" t="s">
        <v>18</v>
      </c>
      <c r="H8" s="20"/>
      <c r="I8" s="21"/>
      <c r="K8" t="s">
        <v>16</v>
      </c>
      <c r="L8" t="s">
        <v>7</v>
      </c>
      <c r="M8" s="36">
        <v>5</v>
      </c>
      <c r="N8" t="s">
        <v>35</v>
      </c>
    </row>
    <row r="9" spans="1:14" x14ac:dyDescent="0.25">
      <c r="K9" t="s">
        <v>16</v>
      </c>
      <c r="L9" t="s">
        <v>6</v>
      </c>
      <c r="M9" s="36">
        <v>6</v>
      </c>
      <c r="N9" t="s">
        <v>36</v>
      </c>
    </row>
    <row r="10" spans="1:14" x14ac:dyDescent="0.25">
      <c r="B10" t="s">
        <v>9</v>
      </c>
      <c r="C10" t="s">
        <v>10</v>
      </c>
      <c r="D10" t="s">
        <v>14</v>
      </c>
      <c r="K10" t="s">
        <v>13</v>
      </c>
      <c r="L10" t="s">
        <v>2</v>
      </c>
      <c r="M10">
        <v>3</v>
      </c>
      <c r="N10" t="s">
        <v>37</v>
      </c>
    </row>
    <row r="11" spans="1:14" x14ac:dyDescent="0.25">
      <c r="B11" s="4" t="s">
        <v>11</v>
      </c>
      <c r="C11" s="4" t="s">
        <v>12</v>
      </c>
      <c r="D11">
        <f>SUM(D12:D16)</f>
        <v>20</v>
      </c>
      <c r="K11" t="s">
        <v>13</v>
      </c>
      <c r="L11" t="s">
        <v>3</v>
      </c>
      <c r="M11">
        <v>4</v>
      </c>
      <c r="N11" t="s">
        <v>38</v>
      </c>
    </row>
    <row r="12" spans="1:14" x14ac:dyDescent="0.25">
      <c r="B12" s="5" t="s">
        <v>1</v>
      </c>
      <c r="C12" t="s">
        <v>16</v>
      </c>
      <c r="D12">
        <v>8</v>
      </c>
      <c r="K12" t="s">
        <v>13</v>
      </c>
      <c r="L12" t="s">
        <v>4</v>
      </c>
      <c r="M12" s="36">
        <v>5</v>
      </c>
      <c r="N12" t="s">
        <v>39</v>
      </c>
    </row>
    <row r="13" spans="1:14" x14ac:dyDescent="0.25">
      <c r="B13" s="6" t="s">
        <v>2</v>
      </c>
      <c r="C13" t="s">
        <v>13</v>
      </c>
      <c r="D13">
        <v>4</v>
      </c>
      <c r="K13" t="s">
        <v>13</v>
      </c>
      <c r="L13" t="s">
        <v>5</v>
      </c>
      <c r="M13" s="36">
        <v>6</v>
      </c>
      <c r="N13" t="s">
        <v>40</v>
      </c>
    </row>
    <row r="14" spans="1:14" x14ac:dyDescent="0.25">
      <c r="B14" s="7" t="s">
        <v>3</v>
      </c>
      <c r="C14" t="s">
        <v>23</v>
      </c>
      <c r="D14">
        <v>4</v>
      </c>
      <c r="K14" t="s">
        <v>23</v>
      </c>
      <c r="L14" t="s">
        <v>1</v>
      </c>
      <c r="M14">
        <v>3</v>
      </c>
      <c r="N14" t="s">
        <v>41</v>
      </c>
    </row>
    <row r="15" spans="1:14" x14ac:dyDescent="0.25">
      <c r="B15" s="8" t="s">
        <v>4</v>
      </c>
      <c r="C15" t="s">
        <v>24</v>
      </c>
      <c r="D15">
        <v>2</v>
      </c>
      <c r="K15" t="s">
        <v>23</v>
      </c>
      <c r="L15" t="s">
        <v>6</v>
      </c>
      <c r="M15" s="36">
        <v>3</v>
      </c>
      <c r="N15" t="s">
        <v>42</v>
      </c>
    </row>
    <row r="16" spans="1:14" x14ac:dyDescent="0.25">
      <c r="B16" s="11" t="s">
        <v>5</v>
      </c>
      <c r="C16" t="s">
        <v>15</v>
      </c>
      <c r="D16">
        <v>2</v>
      </c>
      <c r="K16" t="s">
        <v>23</v>
      </c>
      <c r="L16" t="s">
        <v>2</v>
      </c>
      <c r="M16">
        <v>4</v>
      </c>
      <c r="N16" t="s">
        <v>43</v>
      </c>
    </row>
    <row r="17" spans="11:14" x14ac:dyDescent="0.25">
      <c r="K17" t="s">
        <v>23</v>
      </c>
      <c r="L17" t="s">
        <v>3</v>
      </c>
      <c r="M17">
        <v>5</v>
      </c>
      <c r="N17" t="s">
        <v>44</v>
      </c>
    </row>
    <row r="18" spans="11:14" x14ac:dyDescent="0.25">
      <c r="K18" s="8" t="s">
        <v>24</v>
      </c>
      <c r="L18" t="s">
        <v>1</v>
      </c>
      <c r="M18">
        <v>4</v>
      </c>
      <c r="N18" t="s">
        <v>45</v>
      </c>
    </row>
    <row r="19" spans="11:14" x14ac:dyDescent="0.25">
      <c r="K19" s="8" t="s">
        <v>24</v>
      </c>
      <c r="L19" t="s">
        <v>2</v>
      </c>
      <c r="M19">
        <v>5</v>
      </c>
      <c r="N19" t="s">
        <v>46</v>
      </c>
    </row>
    <row r="20" spans="11:14" x14ac:dyDescent="0.25">
      <c r="K20" s="11" t="s">
        <v>15</v>
      </c>
      <c r="L20" t="s">
        <v>4</v>
      </c>
      <c r="M20" s="36">
        <v>3</v>
      </c>
      <c r="N20" t="s">
        <v>47</v>
      </c>
    </row>
    <row r="21" spans="11:14" x14ac:dyDescent="0.25">
      <c r="K21" s="11" t="s">
        <v>15</v>
      </c>
      <c r="L21" t="s">
        <v>1</v>
      </c>
      <c r="M21">
        <v>5</v>
      </c>
      <c r="N21" t="s">
        <v>48</v>
      </c>
    </row>
  </sheetData>
  <mergeCells count="2">
    <mergeCell ref="B1:C1"/>
    <mergeCell ref="D1:E1"/>
  </mergeCells>
  <conditionalFormatting sqref="K2:K5 K7:K8 K10:K13 K16:K21">
    <cfRule type="cellIs" dxfId="4" priority="6" operator="equal">
      <formula>$C$16</formula>
    </cfRule>
    <cfRule type="cellIs" dxfId="3" priority="7" operator="equal">
      <formula>$C$15</formula>
    </cfRule>
    <cfRule type="cellIs" dxfId="2" priority="8" operator="equal">
      <formula>$C$14</formula>
    </cfRule>
    <cfRule type="cellIs" dxfId="1" priority="9" operator="equal">
      <formula>$C$13</formula>
    </cfRule>
    <cfRule type="cellIs" dxfId="0" priority="10" operator="equal">
      <formula>$C$12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Madison Raza</dc:creator>
  <cp:keywords/>
  <dc:description/>
  <cp:lastModifiedBy>Madison Raza</cp:lastModifiedBy>
  <cp:revision/>
  <dcterms:created xsi:type="dcterms:W3CDTF">2025-09-24T15:34:04Z</dcterms:created>
  <dcterms:modified xsi:type="dcterms:W3CDTF">2025-10-15T15:07:41Z</dcterms:modified>
  <cp:category/>
  <cp:contentStatus/>
</cp:coreProperties>
</file>