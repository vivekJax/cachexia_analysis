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asham/Desktop/"/>
    </mc:Choice>
  </mc:AlternateContent>
  <xr:revisionPtr revIDLastSave="0" documentId="8_{9B7B8A94-4C86-FB4B-B320-2DA021541FE2}" xr6:coauthVersionLast="47" xr6:coauthVersionMax="47" xr10:uidLastSave="{00000000-0000-0000-0000-000000000000}"/>
  <bookViews>
    <workbookView xWindow="25360" yWindow="4340" windowWidth="41580" windowHeight="20640" xr2:uid="{976FB136-D1D7-F647-ADEF-ED2906FC5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4" i="1"/>
  <c r="C22" i="1"/>
  <c r="B22" i="1"/>
  <c r="D20" i="1"/>
  <c r="D3" i="1"/>
  <c r="D21" i="1"/>
  <c r="D4" i="1"/>
  <c r="D5" i="1"/>
  <c r="D6" i="1"/>
  <c r="D10" i="1"/>
  <c r="D11" i="1"/>
  <c r="D7" i="1"/>
  <c r="D12" i="1"/>
  <c r="D13" i="1"/>
  <c r="D16" i="1"/>
  <c r="D17" i="1"/>
  <c r="D18" i="1"/>
  <c r="D19" i="1"/>
  <c r="D14" i="1"/>
  <c r="D15" i="1"/>
  <c r="D8" i="1"/>
  <c r="D9" i="1"/>
  <c r="D2" i="1"/>
  <c r="K15" i="1"/>
  <c r="J15" i="1"/>
  <c r="L3" i="1"/>
  <c r="L5" i="1"/>
  <c r="L6" i="1"/>
  <c r="L8" i="1"/>
  <c r="L9" i="1"/>
  <c r="L10" i="1"/>
  <c r="L11" i="1"/>
  <c r="L12" i="1"/>
  <c r="L13" i="1"/>
  <c r="L14" i="1"/>
  <c r="L2" i="1"/>
  <c r="L15" i="1" l="1"/>
</calcChain>
</file>

<file path=xl/sharedStrings.xml><?xml version="1.0" encoding="utf-8"?>
<sst xmlns="http://schemas.openxmlformats.org/spreadsheetml/2006/main" count="57" uniqueCount="35">
  <si>
    <t>Cage</t>
  </si>
  <si>
    <t>CT-26</t>
  </si>
  <si>
    <t>vehicle</t>
  </si>
  <si>
    <t>Litter</t>
  </si>
  <si>
    <t>Mating</t>
  </si>
  <si>
    <t>CD2-25-01-1</t>
  </si>
  <si>
    <t>CD2-25-02-1</t>
  </si>
  <si>
    <t>CD2-25-03-2</t>
  </si>
  <si>
    <t>CD2-25-05-1</t>
  </si>
  <si>
    <t>CD2-25-06-1</t>
  </si>
  <si>
    <t>CD2-25-04-1</t>
  </si>
  <si>
    <t>CD2-25-08-1</t>
  </si>
  <si>
    <t>CD2-25-03-1</t>
  </si>
  <si>
    <t>CD2-25-09-1</t>
  </si>
  <si>
    <t>CD2-25-10-1</t>
  </si>
  <si>
    <t>CD2-25-07-1</t>
  </si>
  <si>
    <t>CD2-25-10-2</t>
  </si>
  <si>
    <t>CD2-M25-01</t>
  </si>
  <si>
    <t>Total Male Pups</t>
  </si>
  <si>
    <t>Mice Plan to Use</t>
  </si>
  <si>
    <t>Spare Males</t>
  </si>
  <si>
    <t>CD2-M25-02</t>
  </si>
  <si>
    <t>CD2-M25-03</t>
  </si>
  <si>
    <t>CD2-M25-04</t>
  </si>
  <si>
    <t>CD2-M25-05</t>
  </si>
  <si>
    <t>CD2-M25-06</t>
  </si>
  <si>
    <t>CD2-M25-07</t>
  </si>
  <si>
    <t>CD2-M25-08</t>
  </si>
  <si>
    <t>CD2-M25-09</t>
  </si>
  <si>
    <t>CD2-M25-10</t>
  </si>
  <si>
    <t>Date of Birth</t>
  </si>
  <si>
    <t>total mice/cage</t>
  </si>
  <si>
    <t>CD2-25-04-2</t>
  </si>
  <si>
    <t>CD2-25-03-1;CD2-25-05-1;CD2-25-06-1</t>
  </si>
  <si>
    <t>CD2-25-05-1;CD2-25-06-1;CD2-25-07-1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</si>
</sst>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0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DA5-47BE-FD44-99CF-5AE3CBE0FAAE}">
  <dimension ref="A1:L22"/>
  <sheetViews>
    <sheetView tabSelected="1" zoomScale="164" zoomScaleNormal="164" workbookViewId="0">
      <selection activeCell="E25" sqref="E25"/>
    </sheetView>
  </sheetViews>
  <sheetFormatPr baseColWidth="10" defaultColWidth="10.6640625" defaultRowHeight="16" x14ac:dyDescent="0.2"/>
  <cols>
    <col min="4" max="4" width="19.6640625" customWidth="1"/>
    <col min="5" max="5" width="40.6640625" customWidth="1"/>
    <col min="7" max="7" width="11.83203125" customWidth="1"/>
    <col min="8" max="9" width="12.5" customWidth="1"/>
    <col min="10" max="10" width="13.83203125" customWidth="1"/>
    <col min="11" max="11" width="14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G1" s="1" t="s">
        <v>4</v>
      </c>
      <c r="H1" s="1" t="s">
        <v>3</v>
      </c>
      <c r="I1" s="1" t="s">
        <v>30</v>
      </c>
      <c r="J1" s="1" t="s">
        <v>18</v>
      </c>
      <c r="K1" s="1" t="s">
        <v>19</v>
      </c>
      <c r="L1" s="1" t="s">
        <v>20</v>
      </c>
    </row>
    <row r="2" spans="1:12" x14ac:dyDescent="0.2">
      <c r="A2">
        <v>1</v>
      </c>
      <c r="B2">
        <v>3</v>
      </c>
      <c r="C2">
        <v>0</v>
      </c>
      <c r="D2">
        <f t="shared" ref="D2:D21" si="0">B2+C2</f>
        <v>3</v>
      </c>
      <c r="E2" t="s">
        <v>5</v>
      </c>
      <c r="G2" t="s">
        <v>17</v>
      </c>
      <c r="H2" t="s">
        <v>5</v>
      </c>
      <c r="I2" s="2">
        <v>45888</v>
      </c>
      <c r="J2">
        <v>3</v>
      </c>
      <c r="K2">
        <v>3</v>
      </c>
      <c r="L2">
        <f>J2-K2</f>
        <v>0</v>
      </c>
    </row>
    <row r="3" spans="1:12" x14ac:dyDescent="0.2">
      <c r="A3">
        <v>2</v>
      </c>
      <c r="B3">
        <v>3</v>
      </c>
      <c r="C3">
        <v>0</v>
      </c>
      <c r="D3">
        <f t="shared" si="0"/>
        <v>3</v>
      </c>
      <c r="E3" t="s">
        <v>6</v>
      </c>
      <c r="G3" t="s">
        <v>21</v>
      </c>
      <c r="H3" t="s">
        <v>6</v>
      </c>
      <c r="I3" s="2">
        <v>45889</v>
      </c>
      <c r="J3">
        <v>9</v>
      </c>
      <c r="K3">
        <v>9</v>
      </c>
      <c r="L3">
        <f t="shared" ref="L3:L13" si="1">J3-K3</f>
        <v>0</v>
      </c>
    </row>
    <row r="4" spans="1:12" x14ac:dyDescent="0.2">
      <c r="A4">
        <v>3</v>
      </c>
      <c r="B4">
        <v>3</v>
      </c>
      <c r="C4">
        <v>0</v>
      </c>
      <c r="D4">
        <f t="shared" si="0"/>
        <v>3</v>
      </c>
      <c r="E4" t="s">
        <v>7</v>
      </c>
      <c r="G4" t="s">
        <v>22</v>
      </c>
      <c r="H4" t="s">
        <v>12</v>
      </c>
      <c r="I4" s="2">
        <v>45888</v>
      </c>
      <c r="J4">
        <v>1</v>
      </c>
      <c r="K4">
        <v>1</v>
      </c>
      <c r="L4">
        <f t="shared" si="1"/>
        <v>0</v>
      </c>
    </row>
    <row r="5" spans="1:12" x14ac:dyDescent="0.2">
      <c r="A5">
        <v>4</v>
      </c>
      <c r="B5">
        <v>3</v>
      </c>
      <c r="C5">
        <v>0</v>
      </c>
      <c r="D5">
        <f t="shared" si="0"/>
        <v>3</v>
      </c>
      <c r="E5" t="s">
        <v>8</v>
      </c>
      <c r="G5" t="s">
        <v>22</v>
      </c>
      <c r="H5" t="s">
        <v>7</v>
      </c>
      <c r="I5" s="2">
        <v>45889</v>
      </c>
      <c r="J5">
        <v>3</v>
      </c>
      <c r="K5">
        <v>3</v>
      </c>
      <c r="L5">
        <f t="shared" si="1"/>
        <v>0</v>
      </c>
    </row>
    <row r="6" spans="1:12" x14ac:dyDescent="0.2">
      <c r="A6">
        <v>5</v>
      </c>
      <c r="B6">
        <v>3</v>
      </c>
      <c r="C6">
        <v>0</v>
      </c>
      <c r="D6">
        <f t="shared" si="0"/>
        <v>3</v>
      </c>
      <c r="E6" t="s">
        <v>9</v>
      </c>
      <c r="G6" t="s">
        <v>23</v>
      </c>
      <c r="H6" t="s">
        <v>10</v>
      </c>
      <c r="I6" s="2">
        <v>45888</v>
      </c>
      <c r="J6">
        <v>3</v>
      </c>
      <c r="K6">
        <v>3</v>
      </c>
      <c r="L6">
        <f t="shared" si="1"/>
        <v>0</v>
      </c>
    </row>
    <row r="7" spans="1:12" x14ac:dyDescent="0.2">
      <c r="A7">
        <v>6</v>
      </c>
      <c r="B7">
        <v>3</v>
      </c>
      <c r="C7">
        <v>0</v>
      </c>
      <c r="D7">
        <f t="shared" si="0"/>
        <v>3</v>
      </c>
      <c r="E7" t="s">
        <v>15</v>
      </c>
      <c r="G7" t="s">
        <v>23</v>
      </c>
      <c r="H7" t="s">
        <v>32</v>
      </c>
      <c r="I7" s="2">
        <v>45892</v>
      </c>
      <c r="J7">
        <v>2</v>
      </c>
      <c r="K7">
        <v>2</v>
      </c>
      <c r="L7">
        <f t="shared" si="1"/>
        <v>0</v>
      </c>
    </row>
    <row r="8" spans="1:12" x14ac:dyDescent="0.2">
      <c r="A8" s="4">
        <v>7</v>
      </c>
      <c r="B8" s="4">
        <v>3</v>
      </c>
      <c r="C8" s="4">
        <v>0</v>
      </c>
      <c r="D8" s="4">
        <f t="shared" si="0"/>
        <v>3</v>
      </c>
      <c r="E8" t="s">
        <v>33</v>
      </c>
      <c r="G8" t="s">
        <v>24</v>
      </c>
      <c r="H8" t="s">
        <v>8</v>
      </c>
      <c r="I8" s="2">
        <v>45889</v>
      </c>
      <c r="J8">
        <v>8</v>
      </c>
      <c r="K8">
        <v>8</v>
      </c>
      <c r="L8">
        <f>J8-K8</f>
        <v>0</v>
      </c>
    </row>
    <row r="9" spans="1:12" x14ac:dyDescent="0.2">
      <c r="A9" s="4">
        <v>8</v>
      </c>
      <c r="B9" s="4">
        <v>3</v>
      </c>
      <c r="C9" s="4">
        <v>0</v>
      </c>
      <c r="D9" s="4">
        <f t="shared" si="0"/>
        <v>3</v>
      </c>
      <c r="E9" s="5" t="s">
        <v>34</v>
      </c>
      <c r="G9" t="s">
        <v>25</v>
      </c>
      <c r="H9" t="s">
        <v>9</v>
      </c>
      <c r="I9" s="2">
        <v>45889</v>
      </c>
      <c r="J9">
        <v>8</v>
      </c>
      <c r="K9">
        <v>8</v>
      </c>
      <c r="L9">
        <f>J9-K9</f>
        <v>0</v>
      </c>
    </row>
    <row r="10" spans="1:12" x14ac:dyDescent="0.2">
      <c r="A10">
        <v>9</v>
      </c>
      <c r="B10">
        <v>2</v>
      </c>
      <c r="C10">
        <v>1</v>
      </c>
      <c r="D10">
        <f t="shared" si="0"/>
        <v>3</v>
      </c>
      <c r="E10" t="s">
        <v>6</v>
      </c>
      <c r="G10" t="s">
        <v>26</v>
      </c>
      <c r="H10" t="s">
        <v>15</v>
      </c>
      <c r="I10" s="2">
        <v>45889</v>
      </c>
      <c r="J10">
        <v>7</v>
      </c>
      <c r="K10">
        <v>7</v>
      </c>
      <c r="L10">
        <f>J10-K10</f>
        <v>0</v>
      </c>
    </row>
    <row r="11" spans="1:12" x14ac:dyDescent="0.2">
      <c r="A11">
        <v>10</v>
      </c>
      <c r="B11">
        <v>2</v>
      </c>
      <c r="C11">
        <v>1</v>
      </c>
      <c r="D11">
        <f t="shared" si="0"/>
        <v>3</v>
      </c>
      <c r="E11" t="s">
        <v>13</v>
      </c>
      <c r="G11" t="s">
        <v>27</v>
      </c>
      <c r="H11" t="s">
        <v>11</v>
      </c>
      <c r="I11" s="2">
        <v>45889</v>
      </c>
      <c r="J11">
        <v>3</v>
      </c>
      <c r="K11">
        <v>3</v>
      </c>
      <c r="L11">
        <f>J11-K11</f>
        <v>0</v>
      </c>
    </row>
    <row r="12" spans="1:12" x14ac:dyDescent="0.2">
      <c r="A12">
        <v>11</v>
      </c>
      <c r="B12">
        <v>2</v>
      </c>
      <c r="C12">
        <v>1</v>
      </c>
      <c r="D12">
        <f t="shared" si="0"/>
        <v>3</v>
      </c>
      <c r="E12" t="s">
        <v>11</v>
      </c>
      <c r="G12" t="s">
        <v>28</v>
      </c>
      <c r="H12" t="s">
        <v>13</v>
      </c>
      <c r="I12" s="2">
        <v>45891</v>
      </c>
      <c r="J12">
        <v>6</v>
      </c>
      <c r="K12">
        <v>6</v>
      </c>
      <c r="L12">
        <f>J12-K12</f>
        <v>0</v>
      </c>
    </row>
    <row r="13" spans="1:12" x14ac:dyDescent="0.2">
      <c r="A13">
        <v>12</v>
      </c>
      <c r="B13">
        <v>2</v>
      </c>
      <c r="C13">
        <v>1</v>
      </c>
      <c r="D13">
        <f t="shared" si="0"/>
        <v>3</v>
      </c>
      <c r="E13" t="s">
        <v>16</v>
      </c>
      <c r="G13" t="s">
        <v>29</v>
      </c>
      <c r="H13" t="s">
        <v>14</v>
      </c>
      <c r="I13" s="2">
        <v>45888</v>
      </c>
      <c r="J13">
        <v>2</v>
      </c>
      <c r="K13">
        <v>2</v>
      </c>
      <c r="L13">
        <f>J13-K13</f>
        <v>0</v>
      </c>
    </row>
    <row r="14" spans="1:12" x14ac:dyDescent="0.2">
      <c r="A14" s="3">
        <v>13</v>
      </c>
      <c r="B14" s="3">
        <v>2</v>
      </c>
      <c r="C14" s="3">
        <v>0</v>
      </c>
      <c r="D14" s="3">
        <f t="shared" si="0"/>
        <v>2</v>
      </c>
      <c r="E14" t="s">
        <v>32</v>
      </c>
      <c r="G14" t="s">
        <v>29</v>
      </c>
      <c r="H14" t="s">
        <v>16</v>
      </c>
      <c r="I14" s="2">
        <v>45889</v>
      </c>
      <c r="J14">
        <v>3</v>
      </c>
      <c r="K14">
        <v>3</v>
      </c>
      <c r="L14">
        <f>J14-K14</f>
        <v>0</v>
      </c>
    </row>
    <row r="15" spans="1:12" x14ac:dyDescent="0.2">
      <c r="A15" s="3">
        <v>14</v>
      </c>
      <c r="B15" s="3">
        <v>2</v>
      </c>
      <c r="C15" s="3">
        <v>0</v>
      </c>
      <c r="D15" s="3">
        <f t="shared" si="0"/>
        <v>2</v>
      </c>
      <c r="E15" t="s">
        <v>14</v>
      </c>
      <c r="J15">
        <f>SUM(J2:J14)</f>
        <v>58</v>
      </c>
      <c r="K15">
        <f>SUM(K2:K14)</f>
        <v>58</v>
      </c>
      <c r="L15">
        <f>SUM(L2:L14)</f>
        <v>0</v>
      </c>
    </row>
    <row r="16" spans="1:12" x14ac:dyDescent="0.2">
      <c r="A16">
        <v>15</v>
      </c>
      <c r="B16">
        <v>1</v>
      </c>
      <c r="C16">
        <v>2</v>
      </c>
      <c r="D16">
        <f t="shared" si="0"/>
        <v>3</v>
      </c>
      <c r="E16" t="s">
        <v>13</v>
      </c>
    </row>
    <row r="17" spans="1:5" x14ac:dyDescent="0.2">
      <c r="A17">
        <v>16</v>
      </c>
      <c r="B17">
        <v>1</v>
      </c>
      <c r="C17">
        <v>2</v>
      </c>
      <c r="D17">
        <f t="shared" si="0"/>
        <v>3</v>
      </c>
      <c r="E17" t="s">
        <v>15</v>
      </c>
    </row>
    <row r="18" spans="1:5" x14ac:dyDescent="0.2">
      <c r="A18">
        <v>17</v>
      </c>
      <c r="B18">
        <v>1</v>
      </c>
      <c r="C18">
        <v>2</v>
      </c>
      <c r="D18">
        <f t="shared" si="0"/>
        <v>3</v>
      </c>
      <c r="E18" t="s">
        <v>9</v>
      </c>
    </row>
    <row r="19" spans="1:5" x14ac:dyDescent="0.2">
      <c r="A19">
        <v>18</v>
      </c>
      <c r="B19">
        <v>1</v>
      </c>
      <c r="C19">
        <v>2</v>
      </c>
      <c r="D19">
        <f t="shared" si="0"/>
        <v>3</v>
      </c>
      <c r="E19" t="s">
        <v>8</v>
      </c>
    </row>
    <row r="20" spans="1:5" x14ac:dyDescent="0.2">
      <c r="A20">
        <v>19</v>
      </c>
      <c r="B20">
        <v>0</v>
      </c>
      <c r="C20">
        <v>3</v>
      </c>
      <c r="D20">
        <f t="shared" si="0"/>
        <v>3</v>
      </c>
      <c r="E20" t="s">
        <v>10</v>
      </c>
    </row>
    <row r="21" spans="1:5" x14ac:dyDescent="0.2">
      <c r="A21">
        <v>20</v>
      </c>
      <c r="B21">
        <v>0</v>
      </c>
      <c r="C21">
        <v>3</v>
      </c>
      <c r="D21">
        <f t="shared" si="0"/>
        <v>3</v>
      </c>
      <c r="E21" t="s">
        <v>6</v>
      </c>
    </row>
    <row r="22" spans="1:5" x14ac:dyDescent="0.2">
      <c r="B22" s="1">
        <f>SUM(B2:B21)</f>
        <v>40</v>
      </c>
      <c r="C22" s="1">
        <f>SUM(C2:C21)</f>
        <v>18</v>
      </c>
      <c r="D22" s="1"/>
    </row>
  </sheetData>
  <sortState xmlns:xlrd2="http://schemas.microsoft.com/office/spreadsheetml/2017/richdata2" ref="A2:D21">
    <sortCondition descending="1" ref="B2:B2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Muneer Hasham</dc:creator>
  <cp:lastModifiedBy>Muneer Hasham</cp:lastModifiedBy>
  <dcterms:created xsi:type="dcterms:W3CDTF">2025-08-19T15:37:32Z</dcterms:created>
  <dcterms:modified xsi:type="dcterms:W3CDTF">2025-09-05T15:13:37Z</dcterms:modified>
</cp:coreProperties>
</file>